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ao-jw\Desktop\配方表\"/>
    </mc:Choice>
  </mc:AlternateContent>
  <xr:revisionPtr revIDLastSave="0" documentId="13_ncr:1_{109212F2-FFBF-4E7F-B292-B82E2D09C2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ND CRE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2" i="1"/>
  <c r="B21" i="1"/>
  <c r="B25" i="1" s="1"/>
  <c r="F19" i="1"/>
  <c r="E19" i="1"/>
  <c r="D19" i="1"/>
</calcChain>
</file>

<file path=xl/sharedStrings.xml><?xml version="1.0" encoding="utf-8"?>
<sst xmlns="http://schemas.openxmlformats.org/spreadsheetml/2006/main" count="41" uniqueCount="39">
  <si>
    <t>HAND CREAM - INGREDIENT LIST</t>
  </si>
  <si>
    <t>No.</t>
  </si>
  <si>
    <t>CTFA  INCI  Name</t>
  </si>
  <si>
    <t>CAS NO</t>
  </si>
  <si>
    <t>SAH179
ICE CREAM</t>
  </si>
  <si>
    <t>SAH180
DONUT</t>
  </si>
  <si>
    <t>SAH181
LOLLIPOP</t>
  </si>
  <si>
    <t>WATER</t>
  </si>
  <si>
    <t>7732-18-5</t>
  </si>
  <si>
    <t>MINERAL OIL</t>
  </si>
  <si>
    <t>8012-95-1</t>
  </si>
  <si>
    <t>PETROLATUM</t>
  </si>
  <si>
    <t>8009-03-8</t>
  </si>
  <si>
    <t>DIMETHICONE</t>
  </si>
  <si>
    <t>9006-65-9</t>
  </si>
  <si>
    <t>CETEARYL ALCOHOL</t>
  </si>
  <si>
    <t>67762-27-0</t>
  </si>
  <si>
    <t>PHENOXYETHANOL</t>
  </si>
  <si>
    <t>122-99-6</t>
  </si>
  <si>
    <t>ACRYLATES COPOLYMER</t>
  </si>
  <si>
    <t>25035-69-2</t>
  </si>
  <si>
    <t>FRAGRANCE</t>
  </si>
  <si>
    <t xml:space="preserve"> </t>
  </si>
  <si>
    <t>CETEARETH-25</t>
  </si>
  <si>
    <t>68439-49-6</t>
  </si>
  <si>
    <t>CARBOMER</t>
  </si>
  <si>
    <t>9003-01-4</t>
  </si>
  <si>
    <t>XANTHAN GUM</t>
  </si>
  <si>
    <t>11138-66-2</t>
  </si>
  <si>
    <t>ETHYLHEXYLGLYCERIN</t>
  </si>
  <si>
    <t>70445-33-9</t>
  </si>
  <si>
    <t>ROSA RUGOSA FLOWER EXTRACT</t>
  </si>
  <si>
    <t>92347-25-6</t>
  </si>
  <si>
    <t>SODIUM HYDROXIDE</t>
  </si>
  <si>
    <t>1310-73-2</t>
  </si>
  <si>
    <t>PROPYLENE GLYCOL</t>
  </si>
  <si>
    <t>57-55-6</t>
  </si>
  <si>
    <t>Sub (W/W%)</t>
  </si>
  <si>
    <r>
      <rPr>
        <b/>
        <sz val="12"/>
        <color theme="1"/>
        <rFont val="微软雅黑"/>
        <charset val="134"/>
      </rPr>
      <t xml:space="preserve">INGREDIENTS: </t>
    </r>
    <r>
      <rPr>
        <sz val="12"/>
        <color theme="1"/>
        <rFont val="微软雅黑"/>
        <charset val="134"/>
      </rPr>
      <t>WATER, MINERAL OIL, PETROLATUM, DIMETHICONE, CETEARYL ALCOHOL, PHENOXYETHANOL, ACRYLATES COPOLYMER, FRAGRANCE, CETEARETH-25, CARBOMER, XANTHAN GUM, ETHYLHEXYLGLYCERIN, ROSA RUGOSA FLOWER EXTRACT, SODIUM HYDROXIDE, PROPYLENE GLYCOL, ETHYLHEXYLGLYCERIN.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</si>
</sst>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0000_ "/>
  </numFmts>
  <fonts count="13">
    <font>
      <sz val="11"/>
      <color theme="1"/>
      <name val="Calibri"/>
      <charset val="134"/>
      <scheme val="minor"/>
    </font>
    <font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0"/>
      <name val="微软雅黑"/>
    </font>
    <font>
      <b/>
      <sz val="12"/>
      <name val="微软雅黑"/>
      <charset val="134"/>
    </font>
    <font>
      <sz val="12"/>
      <name val="微软雅黑"/>
      <charset val="134"/>
    </font>
    <font>
      <sz val="12"/>
      <name val="微软雅黑"/>
    </font>
    <font>
      <b/>
      <sz val="12"/>
      <color rgb="FFFF0000"/>
      <name val="微软雅黑"/>
      <charset val="134"/>
    </font>
    <font>
      <b/>
      <sz val="12"/>
      <color rgb="FFFF0000"/>
      <name val="微软雅黑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Calibri"/>
      <scheme val="minor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2" fillId="0" borderId="0"/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NumberFormat="1" applyFont="1" applyBorder="1" applyAlignment="1" applyProtection="1">
      <alignment horizontal="center" vertical="center" wrapText="1"/>
    </xf>
    <xf numFmtId="0" fontId="3" fillId="2" borderId="1" xfId="1" applyNumberFormat="1" applyFont="1" applyBorder="1" applyAlignment="1" applyProtection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</cellXfs>
  <cellStyles count="3">
    <cellStyle name="常规" xfId="0" builtinId="0"/>
    <cellStyle name="常规_Sheet1" xfId="2" xr:uid="{00000000-0005-0000-0000-000031000000}"/>
    <cellStyle name="着色 1" xfId="1" builtinId="2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D2" sqref="D1:D1048576"/>
    </sheetView>
  </sheetViews>
  <sheetFormatPr defaultColWidth="9" defaultRowHeight="17.25"/>
  <cols>
    <col min="1" max="1" width="6.42578125" style="1" customWidth="1"/>
    <col min="2" max="2" width="34.85546875" style="1" customWidth="1"/>
    <col min="3" max="3" width="18.28515625" style="1" customWidth="1"/>
    <col min="4" max="5" width="19.28515625" style="1" customWidth="1"/>
    <col min="6" max="6" width="12.5703125" style="1" customWidth="1"/>
    <col min="7" max="8" width="21.5703125" style="1" customWidth="1"/>
    <col min="9" max="16384" width="9" style="1"/>
  </cols>
  <sheetData>
    <row r="1" spans="1:6" ht="29.25">
      <c r="A1" s="11" t="s">
        <v>0</v>
      </c>
      <c r="B1" s="11"/>
      <c r="C1" s="11"/>
      <c r="D1" s="11"/>
      <c r="E1" s="11"/>
      <c r="F1" s="11"/>
    </row>
    <row r="2" spans="1:6" ht="41.1" customHeigh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</row>
    <row r="3" spans="1:6" ht="21" customHeight="1">
      <c r="A3" s="6">
        <v>1</v>
      </c>
      <c r="B3" s="7" t="s">
        <v>7</v>
      </c>
      <c r="C3" s="7" t="s">
        <v>8</v>
      </c>
      <c r="D3" s="8">
        <v>90.7834</v>
      </c>
      <c r="E3" s="8">
        <v>90.883399999999995</v>
      </c>
      <c r="F3" s="8">
        <v>90.883399999999995</v>
      </c>
    </row>
    <row r="4" spans="1:6" ht="45" customHeight="1">
      <c r="A4" s="6">
        <v>2</v>
      </c>
      <c r="B4" s="7" t="s">
        <v>9</v>
      </c>
      <c r="C4" s="7" t="s">
        <v>10</v>
      </c>
      <c r="D4" s="8">
        <v>3</v>
      </c>
      <c r="E4" s="8">
        <v>3</v>
      </c>
      <c r="F4" s="8">
        <v>3</v>
      </c>
    </row>
    <row r="5" spans="1:6" ht="21" customHeight="1">
      <c r="A5" s="6">
        <v>3</v>
      </c>
      <c r="B5" s="7" t="s">
        <v>11</v>
      </c>
      <c r="C5" s="7" t="s">
        <v>12</v>
      </c>
      <c r="D5" s="8">
        <v>2</v>
      </c>
      <c r="E5" s="8">
        <v>2</v>
      </c>
      <c r="F5" s="8">
        <v>2</v>
      </c>
    </row>
    <row r="6" spans="1:6" ht="21" customHeight="1">
      <c r="A6" s="6">
        <v>4</v>
      </c>
      <c r="B6" s="7" t="s">
        <v>13</v>
      </c>
      <c r="C6" s="7" t="s">
        <v>14</v>
      </c>
      <c r="D6" s="8">
        <v>1</v>
      </c>
      <c r="E6" s="8">
        <v>1</v>
      </c>
      <c r="F6" s="8">
        <v>1</v>
      </c>
    </row>
    <row r="7" spans="1:6" ht="21" customHeight="1">
      <c r="A7" s="6">
        <v>5</v>
      </c>
      <c r="B7" s="7" t="s">
        <v>15</v>
      </c>
      <c r="C7" s="7" t="s">
        <v>16</v>
      </c>
      <c r="D7" s="8">
        <v>0.85</v>
      </c>
      <c r="E7" s="8">
        <v>0.85</v>
      </c>
      <c r="F7" s="8">
        <v>0.85</v>
      </c>
    </row>
    <row r="8" spans="1:6" ht="21" customHeight="1">
      <c r="A8" s="6">
        <v>6</v>
      </c>
      <c r="B8" s="7" t="s">
        <v>17</v>
      </c>
      <c r="C8" s="7" t="s">
        <v>18</v>
      </c>
      <c r="D8" s="8">
        <v>0.72299999999999998</v>
      </c>
      <c r="E8" s="8">
        <v>0.72299999999999998</v>
      </c>
      <c r="F8" s="8">
        <v>0.72299999999999998</v>
      </c>
    </row>
    <row r="9" spans="1:6" ht="21" customHeight="1">
      <c r="A9" s="6">
        <v>7</v>
      </c>
      <c r="B9" s="7" t="s">
        <v>19</v>
      </c>
      <c r="C9" s="7" t="s">
        <v>20</v>
      </c>
      <c r="D9" s="8">
        <v>0.59499999999999997</v>
      </c>
      <c r="E9" s="8">
        <v>0.59499999999999997</v>
      </c>
      <c r="F9" s="8">
        <v>0.59499999999999997</v>
      </c>
    </row>
    <row r="10" spans="1:6" ht="21" customHeight="1">
      <c r="A10" s="6">
        <v>8</v>
      </c>
      <c r="B10" s="7" t="s">
        <v>21</v>
      </c>
      <c r="C10" s="7" t="s">
        <v>22</v>
      </c>
      <c r="D10" s="8">
        <v>0.4</v>
      </c>
      <c r="E10" s="8">
        <v>0.3</v>
      </c>
      <c r="F10" s="8">
        <v>0.3</v>
      </c>
    </row>
    <row r="11" spans="1:6" ht="21" customHeight="1">
      <c r="A11" s="6">
        <v>9</v>
      </c>
      <c r="B11" s="7" t="s">
        <v>23</v>
      </c>
      <c r="C11" s="7" t="s">
        <v>24</v>
      </c>
      <c r="D11" s="8">
        <v>0.255</v>
      </c>
      <c r="E11" s="8">
        <v>0.255</v>
      </c>
      <c r="F11" s="8">
        <v>0.255</v>
      </c>
    </row>
    <row r="12" spans="1:6" ht="21" customHeight="1">
      <c r="A12" s="6">
        <v>10</v>
      </c>
      <c r="B12" s="7" t="s">
        <v>25</v>
      </c>
      <c r="C12" s="7" t="s">
        <v>26</v>
      </c>
      <c r="D12" s="8">
        <v>0.1</v>
      </c>
      <c r="E12" s="8">
        <v>0.1</v>
      </c>
      <c r="F12" s="8">
        <v>0.1</v>
      </c>
    </row>
    <row r="13" spans="1:6" ht="21" customHeight="1">
      <c r="A13" s="6">
        <v>11</v>
      </c>
      <c r="B13" s="7" t="s">
        <v>27</v>
      </c>
      <c r="C13" s="7" t="s">
        <v>28</v>
      </c>
      <c r="D13" s="8">
        <v>0.1</v>
      </c>
      <c r="E13" s="8">
        <v>0.1</v>
      </c>
      <c r="F13" s="8">
        <v>0.1</v>
      </c>
    </row>
    <row r="14" spans="1:6" ht="21" customHeight="1">
      <c r="A14" s="6">
        <v>12</v>
      </c>
      <c r="B14" s="7" t="s">
        <v>29</v>
      </c>
      <c r="C14" s="7" t="s">
        <v>30</v>
      </c>
      <c r="D14" s="8">
        <v>0.08</v>
      </c>
      <c r="E14" s="8">
        <v>0.08</v>
      </c>
      <c r="F14" s="8">
        <v>0.08</v>
      </c>
    </row>
    <row r="15" spans="1:6" ht="38.1" customHeight="1">
      <c r="A15" s="6">
        <v>13</v>
      </c>
      <c r="B15" s="7" t="s">
        <v>31</v>
      </c>
      <c r="C15" s="7" t="s">
        <v>32</v>
      </c>
      <c r="D15" s="8">
        <v>4.8000000000000001E-2</v>
      </c>
      <c r="E15" s="8">
        <v>4.8000000000000001E-2</v>
      </c>
      <c r="F15" s="8">
        <v>4.8000000000000001E-2</v>
      </c>
    </row>
    <row r="16" spans="1:6" ht="21" customHeight="1">
      <c r="A16" s="6">
        <v>14</v>
      </c>
      <c r="B16" s="7" t="s">
        <v>33</v>
      </c>
      <c r="C16" s="7" t="s">
        <v>34</v>
      </c>
      <c r="D16" s="8">
        <v>3.5000000000000003E-2</v>
      </c>
      <c r="E16" s="8">
        <v>3.5000000000000003E-2</v>
      </c>
      <c r="F16" s="8">
        <v>3.5000000000000003E-2</v>
      </c>
    </row>
    <row r="17" spans="1:8" ht="21" customHeight="1">
      <c r="A17" s="6">
        <v>15</v>
      </c>
      <c r="B17" s="7" t="s">
        <v>35</v>
      </c>
      <c r="C17" s="7" t="s">
        <v>36</v>
      </c>
      <c r="D17" s="8">
        <v>0.03</v>
      </c>
      <c r="E17" s="8">
        <v>0.03</v>
      </c>
      <c r="F17" s="8">
        <v>0.03</v>
      </c>
    </row>
    <row r="18" spans="1:8" ht="21" customHeight="1">
      <c r="A18" s="6">
        <v>16</v>
      </c>
      <c r="B18" s="7" t="s">
        <v>29</v>
      </c>
      <c r="C18" s="7" t="s">
        <v>30</v>
      </c>
      <c r="D18" s="8">
        <v>5.9999999999999995E-4</v>
      </c>
      <c r="E18" s="8">
        <v>5.9999999999999995E-4</v>
      </c>
      <c r="F18" s="8">
        <v>5.9999999999999995E-4</v>
      </c>
    </row>
    <row r="19" spans="1:8" ht="18">
      <c r="A19" s="12" t="s">
        <v>37</v>
      </c>
      <c r="B19" s="13"/>
      <c r="C19" s="13"/>
      <c r="D19" s="9">
        <f>SUM(D3:D18)</f>
        <v>99.999999999999986</v>
      </c>
      <c r="E19" s="9">
        <f>SUM(E3:E18)</f>
        <v>99.999999999999972</v>
      </c>
      <c r="F19" s="9">
        <f>SUM(F3:F18)</f>
        <v>99.999999999999972</v>
      </c>
    </row>
    <row r="20" spans="1:8" ht="161.1" customHeight="1">
      <c r="A20" s="14" t="s">
        <v>38</v>
      </c>
      <c r="B20" s="14"/>
      <c r="C20" s="14"/>
      <c r="D20" s="14"/>
      <c r="E20" s="14"/>
      <c r="F20" s="14"/>
      <c r="G20" s="10"/>
      <c r="H20" s="10"/>
    </row>
    <row r="21" spans="1:8">
      <c r="B21" s="1" t="str">
        <f>UPPER(B20)</f>
        <v/>
      </c>
    </row>
    <row r="22" spans="1:8">
      <c r="B22" s="1" t="str">
        <f>UPPER(B19)</f>
        <v/>
      </c>
    </row>
    <row r="24" spans="1:8">
      <c r="B24" s="1" t="str">
        <f>UPPER(B20)</f>
        <v/>
      </c>
    </row>
    <row r="25" spans="1:8">
      <c r="B25" s="1" t="str">
        <f>UPPER(B21)</f>
        <v/>
      </c>
    </row>
  </sheetData>
  <mergeCells count="3">
    <mergeCell ref="A1:F1"/>
    <mergeCell ref="A19:C19"/>
    <mergeCell ref="A20:F20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HAND CREAM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Cao, Jiawei</cp:lastModifiedBy>
  <dcterms:created xsi:type="dcterms:W3CDTF">2026-02-09T12:21:00Z</dcterms:created>
  <dcterms:modified xsi:type="dcterms:W3CDTF">2026-03-18T07:00:31Z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17ABC01FFE884927B7622055EEEBCA61_13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