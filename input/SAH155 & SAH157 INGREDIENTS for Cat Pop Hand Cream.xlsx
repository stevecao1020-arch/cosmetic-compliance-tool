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B7C8A3FF-3A3D-4C89-8AEB-A6BD873E4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ND CR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19" i="1"/>
  <c r="F18" i="1"/>
  <c r="F17" i="1"/>
  <c r="E16" i="1"/>
  <c r="D16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5B4AD2978F274C7BA7795E16832D91E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05290" y="5196840"/>
          <a:ext cx="2496185" cy="21755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FE0A6C0FBC1436AA113621566AF49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95765" y="5962650"/>
          <a:ext cx="3010535" cy="23431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<sst xmlns="http://schemas.openxmlformats.org/spreadsheetml/2006/main" count="34" uniqueCount="34">
  <si>
    <t>HAND CREAM - INGREDIENT LIST</t>
  </si>
  <si>
    <t>No.</t>
  </si>
  <si>
    <t>CTFA  INCI  Name</t>
  </si>
  <si>
    <t>CAS NO</t>
  </si>
  <si>
    <t>SAH155
PEACH</t>
  </si>
  <si>
    <t>SAH157
VITAMIN C</t>
  </si>
  <si>
    <t>WATER</t>
  </si>
  <si>
    <t>7732-18-5</t>
  </si>
  <si>
    <t>MINERAL OIL</t>
  </si>
  <si>
    <t>8012-95-1;8020-83-5;8042-47-5</t>
  </si>
  <si>
    <t>PETROLATUM</t>
  </si>
  <si>
    <t>8009-03-8</t>
  </si>
  <si>
    <t>CETEARYL ALCOHOL</t>
  </si>
  <si>
    <t>8005-44-5;67762-27-0</t>
  </si>
  <si>
    <t>ACRYLATES COPOLYMER</t>
  </si>
  <si>
    <t>25035-69-2;25212-88-8;25685-29-4;159666-35-0</t>
  </si>
  <si>
    <t>DIMETHICONE</t>
  </si>
  <si>
    <t>63148-62-9</t>
  </si>
  <si>
    <t>DIAZOLIDINYL UREA</t>
  </si>
  <si>
    <t>78491-02-8</t>
  </si>
  <si>
    <t>METHYLPARABEN</t>
  </si>
  <si>
    <t>99-76-3</t>
  </si>
  <si>
    <t>FRAGRANCE</t>
  </si>
  <si>
    <t>PROPYLPARABEN</t>
  </si>
  <si>
    <t>94-13-3</t>
  </si>
  <si>
    <t>XANTHAN GUM</t>
  </si>
  <si>
    <t>11138-66-2</t>
  </si>
  <si>
    <t>PRUNUS PERSICA (PEACH) FRUIT EXTRACT</t>
  </si>
  <si>
    <t>84012-34-0</t>
  </si>
  <si>
    <t>3-o-ETHYL ASCORBIC ACID</t>
  </si>
  <si>
    <t>86404-04-8</t>
  </si>
  <si>
    <t>Sub (W/W%)</t>
  </si>
  <si>
    <r>
      <rPr>
        <b/>
        <sz val="12"/>
        <color theme="1"/>
        <rFont val="微软雅黑"/>
        <charset val="134"/>
      </rPr>
      <t xml:space="preserve">PEACH INGREDIENTS: </t>
    </r>
    <r>
      <rPr>
        <sz val="12"/>
        <color theme="1"/>
        <rFont val="微软雅黑"/>
        <charset val="134"/>
      </rPr>
      <t>WATER, MINERAL OIL, PETROLATUM, CETEARYL ALCOHOL, ACRYLATES COPOLYMER, DIMETHICONE, DIAZOLIDINYL UREA, METHYLPARABEN, FRAGRANCE, PROPYLPARABEN, XANTHAN GUM, PRUNUS PERSICA (PEACH) FRUIT EXTRACT.</t>
    </r>
  </si>
  <si>
    <r>
      <rPr>
        <b/>
        <sz val="12"/>
        <color theme="1"/>
        <rFont val="微软雅黑"/>
        <charset val="134"/>
      </rPr>
      <t xml:space="preserve">VC INGREDIENTS: </t>
    </r>
    <r>
      <rPr>
        <sz val="12"/>
        <color theme="1"/>
        <rFont val="微软雅黑"/>
        <charset val="134"/>
      </rPr>
      <t>WATER, MINERAL OIL, PETROLATUM, CETEARYL ALCOHOL, ACRYLATES COPOLYMER, DIMETHICONE, DIAZOLIDINYL UREA, METHYLPARABEN, FRAGRANCE, PROPYLPARABEN, XANTHAN GUM, 3-o-ETHYL ASCORBIC ACID.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</si>
</sst>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2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2" sqref="D1:D1048576"/>
    </sheetView>
  </sheetViews>
  <sheetFormatPr defaultColWidth="9" defaultRowHeight="17.25"/>
  <cols>
    <col min="1" max="1" width="6.42578125" style="1" customWidth="1"/>
    <col min="2" max="2" width="34.85546875" style="1" customWidth="1"/>
    <col min="3" max="3" width="32.85546875" style="1" customWidth="1"/>
    <col min="4" max="5" width="19.28515625" style="1" customWidth="1"/>
    <col min="6" max="7" width="21.5703125" style="1" customWidth="1"/>
    <col min="8" max="16384" width="9" style="1"/>
  </cols>
  <sheetData>
    <row r="1" spans="1:5" ht="29.25">
      <c r="A1" s="12" t="s">
        <v>0</v>
      </c>
      <c r="B1" s="12"/>
      <c r="C1" s="12"/>
      <c r="D1" s="12"/>
      <c r="E1" s="12"/>
    </row>
    <row r="2" spans="1:5" ht="41.1" customHeigh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</row>
    <row r="3" spans="1:5" ht="21" customHeight="1">
      <c r="A3" s="6">
        <v>1</v>
      </c>
      <c r="B3" s="7" t="s">
        <v>6</v>
      </c>
      <c r="C3" s="7" t="s">
        <v>7</v>
      </c>
      <c r="D3" s="8">
        <v>91.34</v>
      </c>
      <c r="E3" s="8">
        <v>91.3</v>
      </c>
    </row>
    <row r="4" spans="1:5" ht="45" customHeight="1">
      <c r="A4" s="6">
        <v>2</v>
      </c>
      <c r="B4" s="7" t="s">
        <v>8</v>
      </c>
      <c r="C4" s="7" t="s">
        <v>9</v>
      </c>
      <c r="D4" s="8">
        <v>3</v>
      </c>
      <c r="E4" s="8">
        <v>3</v>
      </c>
    </row>
    <row r="5" spans="1:5" ht="21" customHeight="1">
      <c r="A5" s="6">
        <v>3</v>
      </c>
      <c r="B5" s="7" t="s">
        <v>10</v>
      </c>
      <c r="C5" s="7" t="s">
        <v>11</v>
      </c>
      <c r="D5" s="8">
        <v>2</v>
      </c>
      <c r="E5" s="8">
        <v>2</v>
      </c>
    </row>
    <row r="6" spans="1:5" ht="36.950000000000003" customHeight="1">
      <c r="A6" s="6">
        <v>4</v>
      </c>
      <c r="B6" s="7" t="s">
        <v>12</v>
      </c>
      <c r="C6" s="7" t="s">
        <v>13</v>
      </c>
      <c r="D6" s="8">
        <v>1.2</v>
      </c>
      <c r="E6" s="8">
        <v>1.2</v>
      </c>
    </row>
    <row r="7" spans="1:5" ht="36.950000000000003" customHeight="1">
      <c r="A7" s="6">
        <v>5</v>
      </c>
      <c r="B7" s="7" t="s">
        <v>14</v>
      </c>
      <c r="C7" s="7" t="s">
        <v>15</v>
      </c>
      <c r="D7" s="8">
        <v>1.2</v>
      </c>
      <c r="E7" s="8">
        <v>1.2</v>
      </c>
    </row>
    <row r="8" spans="1:5" ht="21" customHeight="1">
      <c r="A8" s="6">
        <v>6</v>
      </c>
      <c r="B8" s="7" t="s">
        <v>16</v>
      </c>
      <c r="C8" s="11" t="s">
        <v>17</v>
      </c>
      <c r="D8" s="8">
        <v>0.5</v>
      </c>
      <c r="E8" s="8">
        <v>0.5</v>
      </c>
    </row>
    <row r="9" spans="1:5" ht="21" customHeight="1">
      <c r="A9" s="6">
        <v>7</v>
      </c>
      <c r="B9" s="7" t="s">
        <v>18</v>
      </c>
      <c r="C9" s="7" t="s">
        <v>19</v>
      </c>
      <c r="D9" s="8">
        <v>0.2</v>
      </c>
      <c r="E9" s="8">
        <v>0.2</v>
      </c>
    </row>
    <row r="10" spans="1:5" ht="21" customHeight="1">
      <c r="A10" s="6">
        <v>8</v>
      </c>
      <c r="B10" s="7" t="s">
        <v>20</v>
      </c>
      <c r="C10" s="7" t="s">
        <v>21</v>
      </c>
      <c r="D10" s="8">
        <v>0.2</v>
      </c>
      <c r="E10" s="8">
        <v>0.2</v>
      </c>
    </row>
    <row r="11" spans="1:5" ht="21" customHeight="1">
      <c r="A11" s="6">
        <v>9</v>
      </c>
      <c r="B11" s="7" t="s">
        <v>22</v>
      </c>
      <c r="C11" s="7"/>
      <c r="D11" s="8">
        <v>0.2</v>
      </c>
      <c r="E11" s="8">
        <v>0.2</v>
      </c>
    </row>
    <row r="12" spans="1:5" ht="21" customHeight="1">
      <c r="A12" s="6">
        <v>10</v>
      </c>
      <c r="B12" s="7" t="s">
        <v>23</v>
      </c>
      <c r="C12" s="7" t="s">
        <v>24</v>
      </c>
      <c r="D12" s="8">
        <v>0.1</v>
      </c>
      <c r="E12" s="8">
        <v>0.1</v>
      </c>
    </row>
    <row r="13" spans="1:5" ht="21" customHeight="1">
      <c r="A13" s="6">
        <v>11</v>
      </c>
      <c r="B13" s="7" t="s">
        <v>25</v>
      </c>
      <c r="C13" s="7" t="s">
        <v>26</v>
      </c>
      <c r="D13" s="8">
        <v>0.05</v>
      </c>
      <c r="E13" s="8">
        <v>0.05</v>
      </c>
    </row>
    <row r="14" spans="1:5" ht="33" customHeight="1">
      <c r="A14" s="6">
        <v>12</v>
      </c>
      <c r="B14" s="7" t="s">
        <v>27</v>
      </c>
      <c r="C14" s="7" t="s">
        <v>28</v>
      </c>
      <c r="D14" s="8">
        <v>0.01</v>
      </c>
      <c r="E14" s="8"/>
    </row>
    <row r="15" spans="1:5" ht="21" customHeight="1">
      <c r="A15" s="6">
        <v>13</v>
      </c>
      <c r="B15" s="7" t="s">
        <v>29</v>
      </c>
      <c r="C15" s="7" t="s">
        <v>30</v>
      </c>
      <c r="D15" s="8"/>
      <c r="E15" s="8">
        <v>0.05</v>
      </c>
    </row>
    <row r="16" spans="1:5" ht="18">
      <c r="A16" s="13" t="s">
        <v>31</v>
      </c>
      <c r="B16" s="14"/>
      <c r="C16" s="14"/>
      <c r="D16" s="9">
        <f>SUM(D3:D15)</f>
        <v>100.00000000000001</v>
      </c>
      <c r="E16" s="9">
        <f>SUM(E3:E15)</f>
        <v>100</v>
      </c>
    </row>
    <row r="17" spans="1:7" ht="60.95" customHeight="1">
      <c r="A17" s="15" t="s">
        <v>32</v>
      </c>
      <c r="B17" s="15"/>
      <c r="C17" s="15"/>
      <c r="D17" s="15"/>
      <c r="E17" s="15"/>
      <c r="F17" s="10" t="e" vm="1">
        <f ca="1">_xlfn.DISPIMG("ID_5B4AD2978F274C7BA7795E16832D91EF",1)</f>
        <v>#NAME?</v>
      </c>
      <c r="G17" s="10"/>
    </row>
    <row r="18" spans="1:7" ht="60.95" customHeight="1">
      <c r="A18" s="15" t="s">
        <v>33</v>
      </c>
      <c r="B18" s="15"/>
      <c r="C18" s="15"/>
      <c r="D18" s="15"/>
      <c r="E18" s="15"/>
      <c r="F18" s="1" t="e" vm="1">
        <f ca="1">_xlfn.DISPIMG("ID_EFE0A6C0FBC1436AA113621566AF4929",1)</f>
        <v>#NAME?</v>
      </c>
    </row>
    <row r="19" spans="1:7">
      <c r="B19" s="1" t="str">
        <f>UPPER(B16)</f>
        <v/>
      </c>
    </row>
    <row r="21" spans="1:7">
      <c r="B21" s="1" t="str">
        <f>UPPER(B17)</f>
        <v/>
      </c>
    </row>
    <row r="22" spans="1:7">
      <c r="B22" s="1" t="str">
        <f>UPPER(B18)</f>
        <v/>
      </c>
    </row>
  </sheetData>
  <mergeCells count="4">
    <mergeCell ref="A1:E1"/>
    <mergeCell ref="A16:C16"/>
    <mergeCell ref="A17:E17"/>
    <mergeCell ref="A18:E1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HAND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85185AA0D518480385B2C122ABF243FD_13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