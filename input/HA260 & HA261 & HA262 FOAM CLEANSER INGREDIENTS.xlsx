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配方表\Personnal Care- the rest 20SKUs\改\"/>
    </mc:Choice>
  </mc:AlternateContent>
  <xr:revisionPtr revIDLastSave="0" documentId="13_ncr:1_{E4B5310F-E47C-44A5-BE46-A187CF6AC384}" xr6:coauthVersionLast="47" xr6:coauthVersionMax="47" xr10:uidLastSave="{00000000-0000-0000-0000-000000000000}"/>
  <bookViews>
    <workbookView xWindow="2340" yWindow="2340" windowWidth="28800" windowHeight="15345" xr2:uid="{00000000-000D-0000-FFFF-FFFF00000000}"/>
  </bookViews>
  <sheets>
    <sheet name="FOAM CLEANS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25" i="1"/>
  <c r="G24" i="1"/>
  <c r="F23" i="1"/>
  <c r="E23" i="1"/>
  <c r="D23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7252768FA004EA68E862C42FB21CE9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06225" y="6724650"/>
          <a:ext cx="2515235" cy="17722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7DC2F53AFBE3471CAF4DD874E43819A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744325" y="7927975"/>
          <a:ext cx="2642235" cy="26758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64466DB8B8A74C48991105B3A21006E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725275" y="8772525"/>
          <a:ext cx="638810" cy="193675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<sst xmlns="http://schemas.openxmlformats.org/spreadsheetml/2006/main" count="50" uniqueCount="50">
  <si>
    <t>FOAM CLEANSER - INGREDIENT LIST</t>
  </si>
  <si>
    <t>No.</t>
  </si>
  <si>
    <t>CTFA  INCI  Name</t>
  </si>
  <si>
    <t>CAS NO</t>
  </si>
  <si>
    <t>HA260
HYALURONATE ACID</t>
  </si>
  <si>
    <t>HA261
VITAMIN C</t>
  </si>
  <si>
    <t>HA262
ROSE</t>
  </si>
  <si>
    <t>WATER</t>
  </si>
  <si>
    <t>7732-18-5</t>
  </si>
  <si>
    <t>BUTYLENE GLYCOL</t>
  </si>
  <si>
    <t>107-88-0</t>
  </si>
  <si>
    <t>POTASSIUM LAUROYL GLUTAMATE</t>
  </si>
  <si>
    <t>89187-78-0</t>
  </si>
  <si>
    <t>DECYL GLUCOSIDE</t>
  </si>
  <si>
    <t>58846-77-8;68515-73-1;141464-42-8</t>
  </si>
  <si>
    <t>BETAINE</t>
  </si>
  <si>
    <t>107-43-7</t>
  </si>
  <si>
    <t>SODIUM COCOAMPHOACETATE</t>
  </si>
  <si>
    <t>68334-21-4;68608-65-1</t>
  </si>
  <si>
    <t>DMDM HYDANTOIN</t>
  </si>
  <si>
    <t>6440-58-0</t>
  </si>
  <si>
    <t>COCAMIDOPROPYL BETAINE</t>
  </si>
  <si>
    <t>61789-40-0;70851-07-9;83138-08-3;97862-59-4</t>
  </si>
  <si>
    <t>PHENOXYETHANOL</t>
  </si>
  <si>
    <t>122-99-6</t>
  </si>
  <si>
    <t>FRAGRANCE</t>
  </si>
  <si>
    <t>PROPYLENE GLYCOL</t>
  </si>
  <si>
    <t>57-55-6</t>
  </si>
  <si>
    <t>ROSA RUGOSA FLOWER EXTRACT</t>
  </si>
  <si>
    <t>92347-25-6</t>
  </si>
  <si>
    <t>3-o-ETHYL ASCORBIC ACID</t>
  </si>
  <si>
    <t>86404-04-8</t>
  </si>
  <si>
    <t>SODIUM HYDROXIDE</t>
  </si>
  <si>
    <t>1310-73-2</t>
  </si>
  <si>
    <t>1,2-HEXANEDIOL</t>
  </si>
  <si>
    <t>6920-22-5</t>
  </si>
  <si>
    <t>SODIUM CHLORIDE</t>
  </si>
  <si>
    <t>7647-14-5</t>
  </si>
  <si>
    <t>HYDROXYACETOPHENONE</t>
  </si>
  <si>
    <t>99-93-4</t>
  </si>
  <si>
    <t>PENTYLENE GLYCOL</t>
  </si>
  <si>
    <t>5343-92-0</t>
  </si>
  <si>
    <t>SODIUM HYALURONATE</t>
  </si>
  <si>
    <t>9067-32-7</t>
  </si>
  <si>
    <t>ETHYLHEXYLGLYCERIN</t>
  </si>
  <si>
    <t>70445-33-9</t>
  </si>
  <si>
    <t>Sub (W/W%)</t>
  </si>
  <si>
    <r>
      <rPr>
        <b/>
        <sz val="12"/>
        <color rgb="FF000000"/>
        <rFont val="微软雅黑"/>
        <family val="2"/>
        <charset val="134"/>
      </rPr>
      <t>HA260 HYALURONATE ACID INGREDIENTS:</t>
    </r>
    <r>
      <rPr>
        <sz val="12"/>
        <color rgb="FF000000"/>
        <rFont val="微软雅黑"/>
        <family val="2"/>
        <charset val="134"/>
      </rPr>
      <t xml:space="preserve"> WATER, BUTYLENE GLYCOL, POTASSIUM LAUROYL GLUTAMATE, DECYL GLUCOSIDE, BETAINE, SODIUM COCOAMPHOACETATE, DMDM HYDANTOIN, COCAMIDOPROPYL BETAINE, PHENOXYETHANOL, FRAGRANCE, SODIUM HYDROXIDE, 1,2-HEXANEDIOL, SODIUM CHLORIDE, HYDROXYACETOPHENONE, PENTYLENE GLYCOL, SODIUM HYALURONATE.</t>
    </r>
  </si>
  <si>
    <r>
      <rPr>
        <b/>
        <sz val="12"/>
        <color rgb="FF000000"/>
        <rFont val="微软雅黑"/>
        <family val="2"/>
        <charset val="134"/>
      </rPr>
      <t>HA261 VITAMIN C INGREDIENTS:</t>
    </r>
    <r>
      <rPr>
        <sz val="12"/>
        <color rgb="FF000000"/>
        <rFont val="微软雅黑"/>
        <family val="2"/>
        <charset val="134"/>
      </rPr>
      <t xml:space="preserve"> WATER, BUTYLENE GLYCOL, POTASSIUM LAUROYL GLUTAMATE, DECYL GLUCOSIDE, BETAINE, SODIUM COCOAMPHOACETATE, DMDM HYDANTOIN, COCAMIDOPROPYL BETAINE, PHENOXYETHANOL, FRAGRANCE, 3-o-ETHYL ASCORBIC ACID, SODIUM HYDROXIDE, 1,2-HEXANEDIOL, SODIUM CHLORIDE, HYDROXYACETOPHENONE, PENTYLENE GLYCOL.</t>
    </r>
  </si>
  <si>
    <r>
      <rPr>
        <b/>
        <sz val="12"/>
        <color rgb="FF000000"/>
        <rFont val="微软雅黑"/>
        <family val="2"/>
        <charset val="134"/>
      </rPr>
      <t xml:space="preserve">HA262 ROSE INGREDIENTS: </t>
    </r>
    <r>
      <rPr>
        <sz val="12"/>
        <color rgb="FF000000"/>
        <rFont val="微软雅黑"/>
        <family val="2"/>
        <charset val="134"/>
      </rPr>
      <t>WATER, BUTYLENE GLYCOL, POTASSIUM LAUROYL GLUTAMATE, DECYL GLUCOSIDE, BETAINE, SODIUM COCOAMPHOACETATE, DMDM HYDANTOIN, COCAMIDOPROPYL BETAINE, PHENOXYETHANOL, FRAGRANCE, PROPYLENE GLYCOL, ROSA RUGOSA FLOWER EXTRACT, SODIUM HYDROXIDE, 1,2-HEXANEDIOL, SODIUM CHLORIDE, HYDROXYACETOPHENONE, PENTYLENE GLYCOL, ETHYLHEXYLGLYCERIN.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</si>
</sst>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0_ "/>
  </numFmts>
  <fonts count="15" x14ac:knownFonts="1">
    <font>
      <sz val="11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2"/>
      <name val="微软雅黑"/>
      <family val="2"/>
      <charset val="134"/>
    </font>
    <font>
      <sz val="12"/>
      <name val="微软雅黑"/>
      <family val="2"/>
      <charset val="134"/>
    </font>
    <font>
      <sz val="12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0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0" fillId="2" borderId="0" applyNumberFormat="0" applyBorder="0" applyAlignment="0" applyProtection="0">
      <alignment vertical="center"/>
    </xf>
    <xf numFmtId="0" fontId="11" fillId="0" borderId="0"/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" xfId="1" applyNumberFormat="1" applyFont="1" applyBorder="1" applyAlignment="1" applyProtection="1">
      <alignment horizontal="center" vertical="center" wrapText="1"/>
    </xf>
    <xf numFmtId="0" fontId="3" fillId="2" borderId="1" xfId="1" applyNumberFormat="1" applyFont="1" applyBorder="1" applyAlignment="1" applyProtection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</cellXfs>
  <cellStyles count="3">
    <cellStyle name="常规" xfId="0" builtinId="0"/>
    <cellStyle name="常规_Sheet1" xfId="2" xr:uid="{00000000-0005-0000-0000-000031000000}"/>
    <cellStyle name="着色 1" xfId="1" builtinId="2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www.wps.cn/officeDocument/2020/cellImage" Target="cellimages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26"/>
  <sheetViews>
    <sheetView tabSelected="1" zoomScaleNormal="100" workbookViewId="0">
      <selection activeCell="D2" sqref="D1:D1048576"/>
    </sheetView>
  </sheetViews>
  <sheetFormatPr defaultColWidth="9" defaultRowHeight="17.25" x14ac:dyDescent="0.15"/>
  <cols>
    <col min="1" max="1" width="6.375" style="1" customWidth="1"/>
    <col min="2" max="2" width="41.875" style="1" customWidth="1"/>
    <col min="3" max="3" width="26.5" style="1" customWidth="1"/>
    <col min="4" max="4" width="24.75" style="1" customWidth="1"/>
    <col min="5" max="5" width="18.75" style="1" customWidth="1"/>
    <col min="6" max="6" width="15" style="1" customWidth="1"/>
    <col min="7" max="7" width="18.75" style="1"/>
    <col min="8" max="16384" width="9" style="1"/>
  </cols>
  <sheetData>
    <row r="1" spans="1:6" ht="29.25" x14ac:dyDescent="0.15">
      <c r="A1" s="10" t="s">
        <v>0</v>
      </c>
      <c r="B1" s="10"/>
      <c r="C1" s="10"/>
      <c r="D1" s="10"/>
      <c r="E1" s="10"/>
      <c r="F1" s="10"/>
    </row>
    <row r="2" spans="1:6" ht="41.1" customHeight="1" x14ac:dyDescent="0.15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</row>
    <row r="3" spans="1:6" ht="18.95" customHeight="1" x14ac:dyDescent="0.15">
      <c r="A3" s="6">
        <v>1</v>
      </c>
      <c r="B3" s="7" t="s">
        <v>7</v>
      </c>
      <c r="C3" s="7" t="s">
        <v>8</v>
      </c>
      <c r="D3" s="8">
        <v>93.969499999999996</v>
      </c>
      <c r="E3" s="8">
        <v>93.929500000000004</v>
      </c>
      <c r="F3" s="8">
        <v>93.796700000000001</v>
      </c>
    </row>
    <row r="4" spans="1:6" ht="18.95" customHeight="1" x14ac:dyDescent="0.15">
      <c r="A4" s="6">
        <v>2</v>
      </c>
      <c r="B4" s="7" t="s">
        <v>9</v>
      </c>
      <c r="C4" s="7" t="s">
        <v>10</v>
      </c>
      <c r="D4" s="8">
        <v>2.0350000000000001</v>
      </c>
      <c r="E4" s="8">
        <v>2.0350000000000001</v>
      </c>
      <c r="F4" s="8">
        <v>2.0350000000000001</v>
      </c>
    </row>
    <row r="5" spans="1:6" ht="18.95" customHeight="1" x14ac:dyDescent="0.15">
      <c r="A5" s="6">
        <v>3</v>
      </c>
      <c r="B5" s="7" t="s">
        <v>11</v>
      </c>
      <c r="C5" s="7" t="s">
        <v>12</v>
      </c>
      <c r="D5" s="8">
        <v>1.05</v>
      </c>
      <c r="E5" s="8">
        <v>1.05</v>
      </c>
      <c r="F5" s="8">
        <v>1.05</v>
      </c>
    </row>
    <row r="6" spans="1:6" ht="42.95" customHeight="1" x14ac:dyDescent="0.15">
      <c r="A6" s="6">
        <v>4</v>
      </c>
      <c r="B6" s="7" t="s">
        <v>13</v>
      </c>
      <c r="C6" s="7" t="s">
        <v>14</v>
      </c>
      <c r="D6" s="8">
        <v>0.9</v>
      </c>
      <c r="E6" s="8">
        <v>0.9</v>
      </c>
      <c r="F6" s="8">
        <v>0.9</v>
      </c>
    </row>
    <row r="7" spans="1:6" ht="18.95" customHeight="1" x14ac:dyDescent="0.15">
      <c r="A7" s="6">
        <v>5</v>
      </c>
      <c r="B7" s="7" t="s">
        <v>15</v>
      </c>
      <c r="C7" s="7" t="s">
        <v>16</v>
      </c>
      <c r="D7" s="8">
        <v>0.75</v>
      </c>
      <c r="E7" s="8">
        <v>0.75</v>
      </c>
      <c r="F7" s="8">
        <v>0.75</v>
      </c>
    </row>
    <row r="8" spans="1:6" ht="18.95" customHeight="1" x14ac:dyDescent="0.15">
      <c r="A8" s="6">
        <v>6</v>
      </c>
      <c r="B8" s="7" t="s">
        <v>17</v>
      </c>
      <c r="C8" s="7" t="s">
        <v>18</v>
      </c>
      <c r="D8" s="8">
        <v>0.38</v>
      </c>
      <c r="E8" s="8">
        <v>0.38</v>
      </c>
      <c r="F8" s="8">
        <v>0.38</v>
      </c>
    </row>
    <row r="9" spans="1:6" ht="18.95" customHeight="1" x14ac:dyDescent="0.15">
      <c r="A9" s="6">
        <v>7</v>
      </c>
      <c r="B9" s="7" t="s">
        <v>19</v>
      </c>
      <c r="C9" s="7" t="s">
        <v>20</v>
      </c>
      <c r="D9" s="8">
        <v>0.3</v>
      </c>
      <c r="E9" s="8">
        <v>0.3</v>
      </c>
      <c r="F9" s="8">
        <v>0.3</v>
      </c>
    </row>
    <row r="10" spans="1:6" ht="45" customHeight="1" x14ac:dyDescent="0.15">
      <c r="A10" s="6">
        <v>8</v>
      </c>
      <c r="B10" s="7" t="s">
        <v>21</v>
      </c>
      <c r="C10" s="7" t="s">
        <v>22</v>
      </c>
      <c r="D10" s="8">
        <v>0.22500000000000001</v>
      </c>
      <c r="E10" s="8">
        <v>0.22500000000000001</v>
      </c>
      <c r="F10" s="8">
        <v>0.22500000000000001</v>
      </c>
    </row>
    <row r="11" spans="1:6" ht="18.95" customHeight="1" x14ac:dyDescent="0.15">
      <c r="A11" s="6">
        <v>9</v>
      </c>
      <c r="B11" s="7" t="s">
        <v>23</v>
      </c>
      <c r="C11" s="7" t="s">
        <v>24</v>
      </c>
      <c r="D11" s="8">
        <v>0.13800000000000001</v>
      </c>
      <c r="E11" s="8">
        <v>0.13800000000000001</v>
      </c>
      <c r="F11" s="8">
        <v>0.14499999999999999</v>
      </c>
    </row>
    <row r="12" spans="1:6" ht="18.95" customHeight="1" x14ac:dyDescent="0.15">
      <c r="A12" s="6">
        <v>10</v>
      </c>
      <c r="B12" s="7" t="s">
        <v>25</v>
      </c>
      <c r="C12" s="7"/>
      <c r="D12" s="8">
        <v>0.1</v>
      </c>
      <c r="E12" s="8">
        <v>0.1</v>
      </c>
      <c r="F12" s="8">
        <v>0.1</v>
      </c>
    </row>
    <row r="13" spans="1:6" ht="18.95" customHeight="1" x14ac:dyDescent="0.15">
      <c r="A13" s="6">
        <v>11</v>
      </c>
      <c r="B13" s="7" t="s">
        <v>26</v>
      </c>
      <c r="C13" s="7" t="s">
        <v>27</v>
      </c>
      <c r="D13" s="8"/>
      <c r="E13" s="8"/>
      <c r="F13" s="8">
        <v>0.1</v>
      </c>
    </row>
    <row r="14" spans="1:6" ht="18.95" customHeight="1" x14ac:dyDescent="0.15">
      <c r="A14" s="6">
        <v>12</v>
      </c>
      <c r="B14" s="7" t="s">
        <v>28</v>
      </c>
      <c r="C14" s="7" t="s">
        <v>29</v>
      </c>
      <c r="D14" s="8"/>
      <c r="E14" s="8"/>
      <c r="F14" s="8">
        <v>7.4999999999999997E-2</v>
      </c>
    </row>
    <row r="15" spans="1:6" ht="18.95" customHeight="1" x14ac:dyDescent="0.15">
      <c r="A15" s="6">
        <v>13</v>
      </c>
      <c r="B15" s="7" t="s">
        <v>30</v>
      </c>
      <c r="C15" s="7" t="s">
        <v>31</v>
      </c>
      <c r="D15" s="8"/>
      <c r="E15" s="8">
        <v>0.05</v>
      </c>
      <c r="F15" s="8"/>
    </row>
    <row r="16" spans="1:6" ht="18.95" customHeight="1" x14ac:dyDescent="0.15">
      <c r="A16" s="6">
        <v>14</v>
      </c>
      <c r="B16" s="7" t="s">
        <v>32</v>
      </c>
      <c r="C16" s="7" t="s">
        <v>33</v>
      </c>
      <c r="D16" s="8">
        <v>0.04</v>
      </c>
      <c r="E16" s="8">
        <v>0.04</v>
      </c>
      <c r="F16" s="8">
        <v>0.04</v>
      </c>
    </row>
    <row r="17" spans="1:7" ht="18.95" customHeight="1" x14ac:dyDescent="0.15">
      <c r="A17" s="6">
        <v>15</v>
      </c>
      <c r="B17" s="7" t="s">
        <v>34</v>
      </c>
      <c r="C17" s="7" t="s">
        <v>35</v>
      </c>
      <c r="D17" s="8">
        <v>0.04</v>
      </c>
      <c r="E17" s="8">
        <v>0.04</v>
      </c>
      <c r="F17" s="8">
        <v>0.04</v>
      </c>
    </row>
    <row r="18" spans="1:7" ht="18.95" customHeight="1" x14ac:dyDescent="0.15">
      <c r="A18" s="6">
        <v>16</v>
      </c>
      <c r="B18" s="7" t="s">
        <v>36</v>
      </c>
      <c r="C18" s="7" t="s">
        <v>37</v>
      </c>
      <c r="D18" s="8">
        <v>3.7499999999999999E-2</v>
      </c>
      <c r="E18" s="8">
        <v>3.7499999999999999E-2</v>
      </c>
      <c r="F18" s="8">
        <v>3.7499999999999999E-2</v>
      </c>
    </row>
    <row r="19" spans="1:7" ht="18.95" customHeight="1" x14ac:dyDescent="0.15">
      <c r="A19" s="6">
        <v>17</v>
      </c>
      <c r="B19" s="7" t="s">
        <v>38</v>
      </c>
      <c r="C19" s="7" t="s">
        <v>39</v>
      </c>
      <c r="D19" s="8">
        <v>1.4999999999999999E-2</v>
      </c>
      <c r="E19" s="8">
        <v>1.4999999999999999E-2</v>
      </c>
      <c r="F19" s="8">
        <v>1.4999999999999999E-2</v>
      </c>
    </row>
    <row r="20" spans="1:7" ht="18.95" customHeight="1" x14ac:dyDescent="0.15">
      <c r="A20" s="6">
        <v>18</v>
      </c>
      <c r="B20" s="7" t="s">
        <v>40</v>
      </c>
      <c r="C20" s="7" t="s">
        <v>41</v>
      </c>
      <c r="D20" s="8">
        <v>0.01</v>
      </c>
      <c r="E20" s="8">
        <v>0.01</v>
      </c>
      <c r="F20" s="8">
        <v>0.01</v>
      </c>
    </row>
    <row r="21" spans="1:7" ht="18.95" customHeight="1" x14ac:dyDescent="0.15">
      <c r="A21" s="6">
        <v>19</v>
      </c>
      <c r="B21" s="7" t="s">
        <v>42</v>
      </c>
      <c r="C21" s="7" t="s">
        <v>43</v>
      </c>
      <c r="D21" s="8">
        <v>0.01</v>
      </c>
      <c r="E21" s="8"/>
      <c r="F21" s="8"/>
    </row>
    <row r="22" spans="1:7" ht="18.95" customHeight="1" x14ac:dyDescent="0.15">
      <c r="A22" s="6">
        <v>20</v>
      </c>
      <c r="B22" s="7" t="s">
        <v>44</v>
      </c>
      <c r="C22" s="7" t="s">
        <v>45</v>
      </c>
      <c r="D22" s="8"/>
      <c r="E22" s="8"/>
      <c r="F22" s="8">
        <v>8.0000000000000004E-4</v>
      </c>
    </row>
    <row r="23" spans="1:7" ht="18" x14ac:dyDescent="0.15">
      <c r="A23" s="11" t="s">
        <v>46</v>
      </c>
      <c r="B23" s="12"/>
      <c r="C23" s="12"/>
      <c r="D23" s="9">
        <f>SUM(D3:D22)</f>
        <v>100</v>
      </c>
      <c r="E23" s="9">
        <f>SUM(E3:E22)</f>
        <v>100</v>
      </c>
      <c r="F23" s="9">
        <f>SUM(F3:F22)</f>
        <v>99.999999999999986</v>
      </c>
    </row>
    <row r="24" spans="1:7" ht="80.099999999999994" customHeight="1" x14ac:dyDescent="0.15">
      <c r="A24" s="13" t="s">
        <v>47</v>
      </c>
      <c r="B24" s="14"/>
      <c r="C24" s="14"/>
      <c r="D24" s="14"/>
      <c r="E24" s="14"/>
      <c r="F24" s="15"/>
      <c r="G24" s="1" t="e" vm="1">
        <f ca="1">_xlfn.DISPIMG("ID_97252768FA004EA68E862C42FB21CE93",1)</f>
        <v>#NAME?</v>
      </c>
    </row>
    <row r="25" spans="1:7" ht="80.099999999999994" customHeight="1" x14ac:dyDescent="0.15">
      <c r="A25" s="13" t="s">
        <v>48</v>
      </c>
      <c r="B25" s="14"/>
      <c r="C25" s="14"/>
      <c r="D25" s="14"/>
      <c r="E25" s="14"/>
      <c r="F25" s="15"/>
      <c r="G25" s="1" t="e" vm="1">
        <f ca="1">_xlfn.DISPIMG("ID_7DC2F53AFBE3471CAF4DD874E43819A3",1)</f>
        <v>#NAME?</v>
      </c>
    </row>
    <row r="26" spans="1:7" ht="80.099999999999994" customHeight="1" x14ac:dyDescent="0.15">
      <c r="A26" s="13" t="s">
        <v>49</v>
      </c>
      <c r="B26" s="14"/>
      <c r="C26" s="14"/>
      <c r="D26" s="14"/>
      <c r="E26" s="14"/>
      <c r="F26" s="15"/>
      <c r="G26" s="1" t="e" vm="1">
        <f ca="1">_xlfn.DISPIMG("ID_64466DB8B8A74C48991105B3A21006E3",1)</f>
        <v>#NAME?</v>
      </c>
    </row>
  </sheetData>
  <mergeCells count="5">
    <mergeCell ref="A1:F1"/>
    <mergeCell ref="A23:C23"/>
    <mergeCell ref="A24:F24"/>
    <mergeCell ref="A25:F25"/>
    <mergeCell ref="A26:F26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FOAM CLEANSER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家玮 曹</cp:lastModifiedBy>
  <cp:revision/>
  <dcterms:created xsi:type="dcterms:W3CDTF">2026-02-09T12:21:00Z</dcterms:created>
  <dcterms:modified xsi:type="dcterms:W3CDTF">2026-03-19T03:37:49Z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B57AC81D54B34A30978F378156D4DF3B_13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