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模板说明" sheetId="1" state="visible" r:id="rId1"/>
    <sheet xmlns:r="http://schemas.openxmlformats.org/officeDocument/2006/relationships" name="01_字段映射" sheetId="2" state="visible" r:id="rId2"/>
    <sheet xmlns:r="http://schemas.openxmlformats.org/officeDocument/2006/relationships" name="02_客户成分汇总" sheetId="3" state="visible" r:id="rId3"/>
    <sheet xmlns:r="http://schemas.openxmlformats.org/officeDocument/2006/relationships" name="03_筛查输出模板" sheetId="4" state="visible" r:id="rId4"/>
    <sheet xmlns:r="http://schemas.openxmlformats.org/officeDocument/2006/relationships" name="04_配方汇总" sheetId="5" state="visible" r:id="rId5"/>
    <sheet xmlns:r="http://schemas.openxmlformats.org/officeDocument/2006/relationships" name="05_模糊匹配日志" sheetId="6" state="visible" r:id="rId6"/>
    <sheet xmlns:r="http://schemas.openxmlformats.org/officeDocument/2006/relationships" name="99_下拉选项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FFFFFF"/>
      <sz val="10"/>
    </font>
    <font>
      <color rgb="00000000"/>
      <sz val="10"/>
    </font>
    <font>
      <b val="1"/>
      <color rgb="00FFFFFF"/>
      <sz val="11"/>
    </font>
    <font>
      <b val="1"/>
      <color rgb="00000000"/>
      <sz val="11"/>
    </font>
    <font>
      <b val="1"/>
      <color rgb="00FFFFFF"/>
      <sz val="9"/>
    </font>
    <font>
      <b val="1"/>
      <color rgb="00000000"/>
      <sz val="9"/>
    </font>
    <font>
      <b val="1"/>
      <color rgb="001F4E78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DE9E7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164" fontId="4" fillId="3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1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165" fontId="4" fillId="7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dxfs count="3">
    <dxf>
      <fill>
        <patternFill>
          <bgColor rgb="00F4CCCC"/>
        </patternFill>
      </fill>
    </dxf>
    <dxf>
      <fill>
        <patternFill>
          <bgColor rgb="00FCE5CD"/>
        </patternFill>
      </fill>
    </dxf>
    <dxf>
      <fill>
        <patternFill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M2" authorId="0" shapeId="0">
      <text>
        <t>当命名不规范、翻译不标准或候选存在歧义时标记 Y 或 MAYBE。</t>
      </text>
    </comment>
    <comment ref="V2" authorId="0" shapeId="0">
      <text>
        <t>来自 CA Hotlist Restricted 的 Conditions of Use / body site / product type 条件。</t>
      </text>
    </comment>
    <comment ref="X2" authorId="0" shapeId="0">
      <text>
        <t>来自 CA Hotlist Restricted 的 warning statement。</t>
      </text>
    </comment>
    <comment ref="AB2" authorId="0" shapeId="0">
      <text>
        <t>CIR Finding：例如 S / SQ / I。</t>
      </text>
    </comment>
    <comment ref="AK2" authorId="0" shapeId="0">
      <text>
        <t>Final Disposition 为最终交付口径。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化妆品成分 4库筛查输出模板</t>
        </is>
      </c>
    </row>
    <row r="2"/>
    <row r="3">
      <c r="A3" s="2" t="inlineStr">
        <is>
          <t>用途</t>
        </is>
      </c>
    </row>
    <row r="4">
      <c r="A4" t="inlineStr">
        <is>
          <t>该模板用于承接客户成分清单，经 4 个数据库筛查后输出单一成分级结果，并在配方级给出汇总。</t>
        </is>
      </c>
    </row>
    <row r="5"/>
    <row r="6">
      <c r="A6" t="inlineStr">
        <is>
          <t>本模板已结合当前 6 个附件的字段结构设计：</t>
        </is>
      </c>
    </row>
    <row r="7">
      <c r="A7" t="inlineStr">
        <is>
          <t>1) CA Hotlist Prohibited：输出禁用命中、CAS、同义词/相关化合物</t>
        </is>
      </c>
    </row>
    <row r="8">
      <c r="A8" t="inlineStr">
        <is>
          <t>2) CA Hotlist Restricted：输出限用命中、使用条件/部位、最大允许浓度、Warning statement</t>
        </is>
      </c>
    </row>
    <row r="9">
      <c r="A9" t="inlineStr">
        <is>
          <t>3) CIR Quick Reference：输出 Finding 和 Conclusion</t>
        </is>
      </c>
    </row>
    <row r="10">
      <c r="A10" t="inlineStr">
        <is>
          <t>4) CFR 禁用物质：输出美国联邦禁用命中</t>
        </is>
      </c>
    </row>
    <row r="11">
      <c r="A11" t="inlineStr">
        <is>
          <t>5) 客户成分表：兼容“一个表一个配方”和“一个表多个同基础配方”两种结构</t>
        </is>
      </c>
    </row>
    <row r="12">
      <c r="A12" t="inlineStr">
        <is>
          <t>6) 预留模糊匹配日志：用于后续 Python + AI 候选匹配与人工复核</t>
        </is>
      </c>
    </row>
    <row r="13"/>
    <row r="14">
      <c r="A14" s="2" t="inlineStr">
        <is>
          <t>建议工作流</t>
        </is>
      </c>
    </row>
    <row r="15">
      <c r="A15" t="inlineStr">
        <is>
          <t>Step 1：将客户原始成分整合到“02_客户成分汇总”</t>
        </is>
      </c>
    </row>
    <row r="16">
      <c r="A16" t="inlineStr">
        <is>
          <t>Step 2：在“03_筛查输出模板”中做精确/标准化/模糊匹配</t>
        </is>
      </c>
    </row>
    <row r="17">
      <c r="A17" t="inlineStr">
        <is>
          <t>Step 3：将 4 个数据库的命中字段写入对应分组列</t>
        </is>
      </c>
    </row>
    <row r="18">
      <c r="A18" t="inlineStr">
        <is>
          <t>Step 4：检查 AI/人工复核列，并确认 Final Disposition</t>
        </is>
      </c>
    </row>
    <row r="19">
      <c r="A19" t="inlineStr">
        <is>
          <t>Step 5：查看“04_配方汇总”做配方层面判断</t>
        </is>
      </c>
    </row>
    <row r="20"/>
    <row r="21"/>
    <row r="22">
      <c r="A22" s="2" t="inlineStr">
        <is>
          <t>字段设计原则</t>
        </is>
      </c>
    </row>
    <row r="23">
      <c r="A23" t="inlineStr">
        <is>
          <t>一行 = 一个配方中的一个成分（对多配方文件进行按配方拆分）</t>
        </is>
      </c>
    </row>
    <row r="24">
      <c r="A24" t="inlineStr">
        <is>
          <t>禁止 / 限用 / CIR / CFR 分组分开存放，便于后续 Python 自动写回</t>
        </is>
      </c>
    </row>
    <row r="25">
      <c r="A25" t="inlineStr">
        <is>
          <t>允许模糊匹配，但法规结论不得在低置信度情况下自动落地</t>
        </is>
      </c>
    </row>
    <row r="26">
      <c r="A26" t="inlineStr">
        <is>
          <t>Overall/Action/Final Disposition 用于最终交付时的人工复核闭环</t>
        </is>
      </c>
    </row>
    <row r="27"/>
    <row r="28"/>
    <row r="29">
      <c r="A29" s="2" t="inlineStr">
        <is>
          <t>当前已预加载的客户配方</t>
        </is>
      </c>
    </row>
    <row r="30">
      <c r="A30" t="inlineStr">
        <is>
          <t>HA440 | FACIAL MASK - CAKE | FACIAL MASK - CAKE</t>
        </is>
      </c>
    </row>
    <row r="31">
      <c r="A31" t="inlineStr">
        <is>
          <t>SAH155 | SAH155 - PEACH | HAND CREAM</t>
        </is>
      </c>
    </row>
    <row r="32">
      <c r="A32" t="inlineStr">
        <is>
          <t>SAH157 | SAH157 - VITAMIN C | HAND CREAM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32" customWidth="1" min="4" max="4"/>
    <col width="20" customWidth="1" min="5" max="5"/>
    <col width="52" customWidth="1" min="6" max="6"/>
    <col width="40" customWidth="1" min="7" max="7"/>
  </cols>
  <sheetData>
    <row r="1">
      <c r="A1" s="3" t="inlineStr">
        <is>
          <t>Source File</t>
        </is>
      </c>
      <c r="B1" s="3" t="inlineStr">
        <is>
          <t>Source Sheet</t>
        </is>
      </c>
      <c r="C1" s="3" t="inlineStr">
        <is>
          <t>Source Column(s)</t>
        </is>
      </c>
      <c r="D1" s="3" t="inlineStr">
        <is>
          <t>Output Sheet</t>
        </is>
      </c>
      <c r="E1" s="3" t="inlineStr">
        <is>
          <t>Output Column Group</t>
        </is>
      </c>
      <c r="F1" s="3" t="inlineStr">
        <is>
          <t>Key Output Fields</t>
        </is>
      </c>
      <c r="G1" s="3" t="inlineStr">
        <is>
          <t>Usage Note</t>
        </is>
      </c>
    </row>
    <row r="2">
      <c r="A2" s="4" t="inlineStr">
        <is>
          <t>CA Hotlist Prohibited.xlsx</t>
        </is>
      </c>
      <c r="B2" s="4" t="inlineStr">
        <is>
          <t>Sheet1</t>
        </is>
      </c>
      <c r="C2" s="4" t="inlineStr">
        <is>
          <t>Ingredient / CAS / Synonyms and Related Compounds</t>
        </is>
      </c>
      <c r="D2" s="4" t="inlineStr">
        <is>
          <t>03_筛查输出模板</t>
        </is>
      </c>
      <c r="E2" s="4" t="inlineStr">
        <is>
          <t>CA Prohibited</t>
        </is>
      </c>
      <c r="F2" s="4" t="inlineStr">
        <is>
          <t>CA Prohibited Hit; Matched Ingredient; CAS; Synonyms; Evidence</t>
        </is>
      </c>
      <c r="G2" s="4" t="inlineStr">
        <is>
          <t>加拿大禁用，命中后通常为硬性阻断</t>
        </is>
      </c>
    </row>
    <row r="3">
      <c r="A3" s="4" t="inlineStr">
        <is>
          <t>CA Hotlist Restricted.xlsx</t>
        </is>
      </c>
      <c r="B3" s="4" t="inlineStr">
        <is>
          <t>Sheet1</t>
        </is>
      </c>
      <c r="C3" s="4" t="inlineStr">
        <is>
          <t>Chemical / CAS / Synonyms / Conditions of Use / Maximum Concentration / Warnings</t>
        </is>
      </c>
      <c r="D3" s="4" t="inlineStr">
        <is>
          <t>03_筛查输出模板</t>
        </is>
      </c>
      <c r="E3" s="4" t="inlineStr">
        <is>
          <t>CA Restricted</t>
        </is>
      </c>
      <c r="F3" s="4" t="inlineStr">
        <is>
          <t>CA Restricted Hit; Matched Ingredient; CAS; Conditions of Use / Allowed Body Site; Max Conc.; Warning Statement; Assessment Note</t>
        </is>
      </c>
      <c r="G3" s="4" t="inlineStr">
        <is>
          <t>重点关注允许添加部位、限量、warning statement</t>
        </is>
      </c>
    </row>
    <row r="4">
      <c r="A4" s="4" t="inlineStr">
        <is>
          <t>CIR_Quick_Reference_Table 2025.xlsx</t>
        </is>
      </c>
      <c r="B4" s="4" t="inlineStr">
        <is>
          <t>Updated_Master</t>
        </is>
      </c>
      <c r="C4" s="4" t="inlineStr">
        <is>
          <t>Ingredient / Finding / Conclusion</t>
        </is>
      </c>
      <c r="D4" s="4" t="inlineStr">
        <is>
          <t>03_筛查输出模板</t>
        </is>
      </c>
      <c r="E4" s="4" t="inlineStr">
        <is>
          <t>CIR</t>
        </is>
      </c>
      <c r="F4" s="4" t="inlineStr">
        <is>
          <t>CIR Hit; Matched Ingredient; Finding; Conclusion; Interpretation</t>
        </is>
      </c>
      <c r="G4" s="4" t="inlineStr">
        <is>
          <t>CIR 为美国安全评估参考，不等同法规禁限用</t>
        </is>
      </c>
    </row>
    <row r="5">
      <c r="A5" s="4" t="inlineStr">
        <is>
          <t>CFR禁用物质.xlsx</t>
        </is>
      </c>
      <c r="B5" s="4" t="inlineStr">
        <is>
          <t>Sheet1</t>
        </is>
      </c>
      <c r="C5" s="4" t="inlineStr">
        <is>
          <t>Prohibited substance term</t>
        </is>
      </c>
      <c r="D5" s="4" t="inlineStr">
        <is>
          <t>03_筛查输出模板</t>
        </is>
      </c>
      <c r="E5" s="4" t="inlineStr">
        <is>
          <t>CFR</t>
        </is>
      </c>
      <c r="F5" s="4" t="inlineStr">
        <is>
          <t>CFR Hit; Matched Substance; Evidence</t>
        </is>
      </c>
      <c r="G5" s="4" t="inlineStr">
        <is>
          <t>美国联邦禁用少量物质，命中后通常为硬性阻断</t>
        </is>
      </c>
    </row>
    <row r="6">
      <c r="A6" s="4" t="inlineStr">
        <is>
          <t>HA440 INGREDIENTS for Sugar Pop Facial Mask – Cake.xlsx</t>
        </is>
      </c>
      <c r="B6" s="4" t="inlineStr">
        <is>
          <t>FACIAL MASK - CAKE</t>
        </is>
      </c>
      <c r="C6" s="4" t="inlineStr">
        <is>
          <t>No. / CTFA INCI Name / CAS No / W/W%</t>
        </is>
      </c>
      <c r="D6" s="4" t="inlineStr">
        <is>
          <t>02_客户成分汇总 &amp; 03_筛查输出模板</t>
        </is>
      </c>
      <c r="E6" s="4" t="inlineStr">
        <is>
          <t>Client Input</t>
        </is>
      </c>
      <c r="F6" s="4" t="inlineStr">
        <is>
          <t>Formula Code; Formula Name; Ingredient No; Raw INCI; CAS; W/W%</t>
        </is>
      </c>
      <c r="G6" s="4" t="inlineStr">
        <is>
          <t>一个表一个配方</t>
        </is>
      </c>
    </row>
    <row r="7">
      <c r="A7" s="4" t="inlineStr">
        <is>
          <t>SAH155 &amp; SAH157 INGREDIENTS for Cat Pop Hand Cream.xlsx</t>
        </is>
      </c>
      <c r="B7" s="4" t="inlineStr">
        <is>
          <t>HAND CREAM</t>
        </is>
      </c>
      <c r="C7" s="4" t="inlineStr">
        <is>
          <t>No. / CTFA INCI Name / CAS No / SAH155 / SAH157</t>
        </is>
      </c>
      <c r="D7" s="4" t="inlineStr">
        <is>
          <t>02_客户成分汇总 &amp; 03_筛查输出模板</t>
        </is>
      </c>
      <c r="E7" s="4" t="inlineStr">
        <is>
          <t>Client Input</t>
        </is>
      </c>
      <c r="F7" s="4" t="inlineStr">
        <is>
          <t>Formula Code; Formula Name; Ingredient No; Raw INCI; CAS; W/W%</t>
        </is>
      </c>
      <c r="G7" s="4" t="inlineStr">
        <is>
          <t>一个表多个同基础配方，按配方拆成多行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14" customWidth="1" min="4" max="4"/>
    <col width="22" customWidth="1" min="5" max="5"/>
    <col width="22" customWidth="1" min="6" max="6"/>
    <col width="14" customWidth="1" min="7" max="7"/>
    <col width="36" customWidth="1" min="8" max="8"/>
    <col width="24" customWidth="1" min="9" max="9"/>
    <col width="12" customWidth="1" min="10" max="10"/>
    <col width="14" customWidth="1" min="11" max="11"/>
  </cols>
  <sheetData>
    <row r="1">
      <c r="A1" s="3" t="inlineStr">
        <is>
          <t>Record ID</t>
        </is>
      </c>
      <c r="B1" s="3" t="inlineStr">
        <is>
          <t>Client File</t>
        </is>
      </c>
      <c r="C1" s="3" t="inlineStr">
        <is>
          <t>Source Sheet</t>
        </is>
      </c>
      <c r="D1" s="3" t="inlineStr">
        <is>
          <t>Formula Code</t>
        </is>
      </c>
      <c r="E1" s="3" t="inlineStr">
        <is>
          <t>Formula Name</t>
        </is>
      </c>
      <c r="F1" s="3" t="inlineStr">
        <is>
          <t>Product Family</t>
        </is>
      </c>
      <c r="G1" s="3" t="inlineStr">
        <is>
          <t>Ingredient No</t>
        </is>
      </c>
      <c r="H1" s="3" t="inlineStr">
        <is>
          <t>Raw INCI Name</t>
        </is>
      </c>
      <c r="I1" s="3" t="inlineStr">
        <is>
          <t>Raw CAS No</t>
        </is>
      </c>
      <c r="J1" s="3" t="inlineStr">
        <is>
          <t>Input W/W %</t>
        </is>
      </c>
      <c r="K1" s="3" t="inlineStr">
        <is>
          <t>Variant Group</t>
        </is>
      </c>
    </row>
    <row r="2">
      <c r="A2" s="5" t="n">
        <v>1</v>
      </c>
      <c r="B2" s="6" t="inlineStr">
        <is>
          <t>HA440 INGREDIENTS for Sugar Pop Facial Mask – Cake.xlsx</t>
        </is>
      </c>
      <c r="C2" s="5" t="inlineStr">
        <is>
          <t>FACIAL MASK - CAKE</t>
        </is>
      </c>
      <c r="D2" s="5" t="inlineStr">
        <is>
          <t>HA440</t>
        </is>
      </c>
      <c r="E2" s="6" t="inlineStr">
        <is>
          <t>FACIAL MASK - CAKE</t>
        </is>
      </c>
      <c r="F2" s="5" t="inlineStr">
        <is>
          <t>FACIAL MASK - CAKE</t>
        </is>
      </c>
      <c r="G2" s="5" t="n">
        <v>1</v>
      </c>
      <c r="H2" s="6" t="inlineStr">
        <is>
          <t>WATER</t>
        </is>
      </c>
      <c r="I2" s="6" t="inlineStr">
        <is>
          <t>7732-18-5</t>
        </is>
      </c>
      <c r="J2" s="7" t="n">
        <v>90.605</v>
      </c>
      <c r="K2" s="5" t="inlineStr">
        <is>
          <t>HA440</t>
        </is>
      </c>
    </row>
    <row r="3">
      <c r="A3" s="5" t="n">
        <v>2</v>
      </c>
      <c r="B3" s="6" t="inlineStr">
        <is>
          <t>HA440 INGREDIENTS for Sugar Pop Facial Mask – Cake.xlsx</t>
        </is>
      </c>
      <c r="C3" s="5" t="inlineStr">
        <is>
          <t>FACIAL MASK - CAKE</t>
        </is>
      </c>
      <c r="D3" s="5" t="inlineStr">
        <is>
          <t>HA440</t>
        </is>
      </c>
      <c r="E3" s="6" t="inlineStr">
        <is>
          <t>FACIAL MASK - CAKE</t>
        </is>
      </c>
      <c r="F3" s="5" t="inlineStr">
        <is>
          <t>FACIAL MASK - CAKE</t>
        </is>
      </c>
      <c r="G3" s="5" t="n">
        <v>2</v>
      </c>
      <c r="H3" s="6" t="inlineStr">
        <is>
          <t>PROPYLENE GLYCOL</t>
        </is>
      </c>
      <c r="I3" s="6" t="inlineStr">
        <is>
          <t>57-55-6</t>
        </is>
      </c>
      <c r="J3" s="7" t="n">
        <v>4.348</v>
      </c>
      <c r="K3" s="5" t="inlineStr">
        <is>
          <t>HA440</t>
        </is>
      </c>
    </row>
    <row r="4">
      <c r="A4" s="5" t="n">
        <v>3</v>
      </c>
      <c r="B4" s="6" t="inlineStr">
        <is>
          <t>HA440 INGREDIENTS for Sugar Pop Facial Mask – Cake.xlsx</t>
        </is>
      </c>
      <c r="C4" s="5" t="inlineStr">
        <is>
          <t>FACIAL MASK - CAKE</t>
        </is>
      </c>
      <c r="D4" s="5" t="inlineStr">
        <is>
          <t>HA440</t>
        </is>
      </c>
      <c r="E4" s="6" t="inlineStr">
        <is>
          <t>FACIAL MASK - CAKE</t>
        </is>
      </c>
      <c r="F4" s="5" t="inlineStr">
        <is>
          <t>FACIAL MASK - CAKE</t>
        </is>
      </c>
      <c r="G4" s="5" t="n">
        <v>3</v>
      </c>
      <c r="H4" s="6" t="inlineStr">
        <is>
          <t>GLYCERIN</t>
        </is>
      </c>
      <c r="I4" s="6" t="inlineStr">
        <is>
          <t>56-81-5</t>
        </is>
      </c>
      <c r="J4" s="7" t="n">
        <v>4</v>
      </c>
      <c r="K4" s="5" t="inlineStr">
        <is>
          <t>HA440</t>
        </is>
      </c>
    </row>
    <row r="5">
      <c r="A5" s="5" t="n">
        <v>4</v>
      </c>
      <c r="B5" s="6" t="inlineStr">
        <is>
          <t>HA440 INGREDIENTS for Sugar Pop Facial Mask – Cake.xlsx</t>
        </is>
      </c>
      <c r="C5" s="5" t="inlineStr">
        <is>
          <t>FACIAL MASK - CAKE</t>
        </is>
      </c>
      <c r="D5" s="5" t="inlineStr">
        <is>
          <t>HA440</t>
        </is>
      </c>
      <c r="E5" s="6" t="inlineStr">
        <is>
          <t>FACIAL MASK - CAKE</t>
        </is>
      </c>
      <c r="F5" s="5" t="inlineStr">
        <is>
          <t>FACIAL MASK - CAKE</t>
        </is>
      </c>
      <c r="G5" s="5" t="n">
        <v>4</v>
      </c>
      <c r="H5" s="6" t="inlineStr">
        <is>
          <t>HYDROXYACETOPHENONE</t>
        </is>
      </c>
      <c r="I5" s="6" t="inlineStr">
        <is>
          <t>99-93-4</t>
        </is>
      </c>
      <c r="J5" s="7" t="n">
        <v>0.4</v>
      </c>
      <c r="K5" s="5" t="inlineStr">
        <is>
          <t>HA440</t>
        </is>
      </c>
    </row>
    <row r="6">
      <c r="A6" s="5" t="n">
        <v>5</v>
      </c>
      <c r="B6" s="6" t="inlineStr">
        <is>
          <t>HA440 INGREDIENTS for Sugar Pop Facial Mask – Cake.xlsx</t>
        </is>
      </c>
      <c r="C6" s="5" t="inlineStr">
        <is>
          <t>FACIAL MASK - CAKE</t>
        </is>
      </c>
      <c r="D6" s="5" t="inlineStr">
        <is>
          <t>HA440</t>
        </is>
      </c>
      <c r="E6" s="6" t="inlineStr">
        <is>
          <t>FACIAL MASK - CAKE</t>
        </is>
      </c>
      <c r="F6" s="5" t="inlineStr">
        <is>
          <t>FACIAL MASK - CAKE</t>
        </is>
      </c>
      <c r="G6" s="5" t="n">
        <v>5</v>
      </c>
      <c r="H6" s="6" t="inlineStr">
        <is>
          <t>ALLANTOIN</t>
        </is>
      </c>
      <c r="I6" s="6" t="inlineStr">
        <is>
          <t>97-59-6</t>
        </is>
      </c>
      <c r="J6" s="7" t="n">
        <v>0.2</v>
      </c>
      <c r="K6" s="5" t="inlineStr">
        <is>
          <t>HA440</t>
        </is>
      </c>
    </row>
    <row r="7">
      <c r="A7" s="5" t="n">
        <v>6</v>
      </c>
      <c r="B7" s="6" t="inlineStr">
        <is>
          <t>HA440 INGREDIENTS for Sugar Pop Facial Mask – Cake.xlsx</t>
        </is>
      </c>
      <c r="C7" s="5" t="inlineStr">
        <is>
          <t>FACIAL MASK - CAKE</t>
        </is>
      </c>
      <c r="D7" s="5" t="inlineStr">
        <is>
          <t>HA440</t>
        </is>
      </c>
      <c r="E7" s="6" t="inlineStr">
        <is>
          <t>FACIAL MASK - CAKE</t>
        </is>
      </c>
      <c r="F7" s="5" t="inlineStr">
        <is>
          <t>FACIAL MASK - CAKE</t>
        </is>
      </c>
      <c r="G7" s="5" t="n">
        <v>6</v>
      </c>
      <c r="H7" s="6" t="inlineStr">
        <is>
          <t>HYDROXYETHYLCELLULOSE</t>
        </is>
      </c>
      <c r="I7" s="6" t="inlineStr">
        <is>
          <t>9004-62-0</t>
        </is>
      </c>
      <c r="J7" s="7" t="n">
        <v>0.1978</v>
      </c>
      <c r="K7" s="5" t="inlineStr">
        <is>
          <t>HA440</t>
        </is>
      </c>
    </row>
    <row r="8">
      <c r="A8" s="5" t="n">
        <v>7</v>
      </c>
      <c r="B8" s="6" t="inlineStr">
        <is>
          <t>HA440 INGREDIENTS for Sugar Pop Facial Mask – Cake.xlsx</t>
        </is>
      </c>
      <c r="C8" s="5" t="inlineStr">
        <is>
          <t>FACIAL MASK - CAKE</t>
        </is>
      </c>
      <c r="D8" s="5" t="inlineStr">
        <is>
          <t>HA440</t>
        </is>
      </c>
      <c r="E8" s="6" t="inlineStr">
        <is>
          <t>FACIAL MASK - CAKE</t>
        </is>
      </c>
      <c r="F8" s="5" t="inlineStr">
        <is>
          <t>FACIAL MASK - CAKE</t>
        </is>
      </c>
      <c r="G8" s="5" t="n">
        <v>7</v>
      </c>
      <c r="H8" s="6" t="inlineStr">
        <is>
          <t>CARBOMER</t>
        </is>
      </c>
      <c r="I8" s="6" t="inlineStr">
        <is>
          <t>9007-20-9</t>
        </is>
      </c>
      <c r="J8" s="7" t="n">
        <v>0.08</v>
      </c>
      <c r="K8" s="5" t="inlineStr">
        <is>
          <t>HA440</t>
        </is>
      </c>
    </row>
    <row r="9">
      <c r="A9" s="5" t="n">
        <v>8</v>
      </c>
      <c r="B9" s="6" t="inlineStr">
        <is>
          <t>HA440 INGREDIENTS for Sugar Pop Facial Mask – Cake.xlsx</t>
        </is>
      </c>
      <c r="C9" s="5" t="inlineStr">
        <is>
          <t>FACIAL MASK - CAKE</t>
        </is>
      </c>
      <c r="D9" s="5" t="inlineStr">
        <is>
          <t>HA440</t>
        </is>
      </c>
      <c r="E9" s="6" t="inlineStr">
        <is>
          <t>FACIAL MASK - CAKE</t>
        </is>
      </c>
      <c r="F9" s="5" t="inlineStr">
        <is>
          <t>FACIAL MASK - CAKE</t>
        </is>
      </c>
      <c r="G9" s="5" t="n">
        <v>8</v>
      </c>
      <c r="H9" s="6" t="inlineStr">
        <is>
          <t>TRIETHANOLAMINE</t>
        </is>
      </c>
      <c r="I9" s="6" t="inlineStr">
        <is>
          <t>102-71-6</t>
        </is>
      </c>
      <c r="J9" s="7" t="n">
        <v>0.08</v>
      </c>
      <c r="K9" s="5" t="inlineStr">
        <is>
          <t>HA440</t>
        </is>
      </c>
    </row>
    <row r="10">
      <c r="A10" s="5" t="n">
        <v>9</v>
      </c>
      <c r="B10" s="6" t="inlineStr">
        <is>
          <t>HA440 INGREDIENTS for Sugar Pop Facial Mask – Cake.xlsx</t>
        </is>
      </c>
      <c r="C10" s="5" t="inlineStr">
        <is>
          <t>FACIAL MASK - CAKE</t>
        </is>
      </c>
      <c r="D10" s="5" t="inlineStr">
        <is>
          <t>HA440</t>
        </is>
      </c>
      <c r="E10" s="6" t="inlineStr">
        <is>
          <t>FACIAL MASK - CAKE</t>
        </is>
      </c>
      <c r="F10" s="5" t="inlineStr">
        <is>
          <t>FACIAL MASK - CAKE</t>
        </is>
      </c>
      <c r="G10" s="5" t="n">
        <v>9</v>
      </c>
      <c r="H10" s="6" t="inlineStr">
        <is>
          <t>CAPRYLHYDROXAMIC ACID</t>
        </is>
      </c>
      <c r="I10" s="6" t="n"/>
      <c r="J10" s="7" t="n">
        <v>0.048</v>
      </c>
      <c r="K10" s="5" t="inlineStr">
        <is>
          <t>HA440</t>
        </is>
      </c>
    </row>
    <row r="11">
      <c r="A11" s="5" t="n">
        <v>10</v>
      </c>
      <c r="B11" s="6" t="inlineStr">
        <is>
          <t>HA440 INGREDIENTS for Sugar Pop Facial Mask – Cake.xlsx</t>
        </is>
      </c>
      <c r="C11" s="5" t="inlineStr">
        <is>
          <t>FACIAL MASK - CAKE</t>
        </is>
      </c>
      <c r="D11" s="5" t="inlineStr">
        <is>
          <t>HA440</t>
        </is>
      </c>
      <c r="E11" s="6" t="inlineStr">
        <is>
          <t>FACIAL MASK - CAKE</t>
        </is>
      </c>
      <c r="F11" s="5" t="inlineStr">
        <is>
          <t>FACIAL MASK - CAKE</t>
        </is>
      </c>
      <c r="G11" s="5" t="n">
        <v>10</v>
      </c>
      <c r="H11" s="6" t="inlineStr">
        <is>
          <t>DISODIUM EDTA</t>
        </is>
      </c>
      <c r="I11" s="6" t="inlineStr">
        <is>
          <t>139-33-3</t>
        </is>
      </c>
      <c r="J11" s="7" t="n">
        <v>0.03</v>
      </c>
      <c r="K11" s="5" t="inlineStr">
        <is>
          <t>HA440</t>
        </is>
      </c>
    </row>
    <row r="12">
      <c r="A12" s="5" t="n">
        <v>11</v>
      </c>
      <c r="B12" s="6" t="inlineStr">
        <is>
          <t>HA440 INGREDIENTS for Sugar Pop Facial Mask – Cake.xlsx</t>
        </is>
      </c>
      <c r="C12" s="5" t="inlineStr">
        <is>
          <t>FACIAL MASK - CAKE</t>
        </is>
      </c>
      <c r="D12" s="5" t="inlineStr">
        <is>
          <t>HA440</t>
        </is>
      </c>
      <c r="E12" s="6" t="inlineStr">
        <is>
          <t>FACIAL MASK - CAKE</t>
        </is>
      </c>
      <c r="F12" s="5" t="inlineStr">
        <is>
          <t>FACIAL MASK - CAKE</t>
        </is>
      </c>
      <c r="G12" s="5" t="n">
        <v>11</v>
      </c>
      <c r="H12" s="6" t="inlineStr">
        <is>
          <t>GLYCERYL CAPRYLATE</t>
        </is>
      </c>
      <c r="I12" s="6" t="inlineStr">
        <is>
          <t>26402-26-6</t>
        </is>
      </c>
      <c r="J12" s="7" t="n">
        <v>0.004</v>
      </c>
      <c r="K12" s="5" t="inlineStr">
        <is>
          <t>HA440</t>
        </is>
      </c>
    </row>
    <row r="13">
      <c r="A13" s="5" t="n">
        <v>12</v>
      </c>
      <c r="B13" s="6" t="inlineStr">
        <is>
          <t>HA440 INGREDIENTS for Sugar Pop Facial Mask – Cake.xlsx</t>
        </is>
      </c>
      <c r="C13" s="5" t="inlineStr">
        <is>
          <t>FACIAL MASK - CAKE</t>
        </is>
      </c>
      <c r="D13" s="5" t="inlineStr">
        <is>
          <t>HA440</t>
        </is>
      </c>
      <c r="E13" s="6" t="inlineStr">
        <is>
          <t>FACIAL MASK - CAKE</t>
        </is>
      </c>
      <c r="F13" s="5" t="inlineStr">
        <is>
          <t>FACIAL MASK - CAKE</t>
        </is>
      </c>
      <c r="G13" s="5" t="n">
        <v>12</v>
      </c>
      <c r="H13" s="6" t="inlineStr">
        <is>
          <t>PEG-40 HYDROGENATED CASTOR OIL</t>
        </is>
      </c>
      <c r="I13" s="6" t="inlineStr">
        <is>
          <t>61788-85-0</t>
        </is>
      </c>
      <c r="J13" s="7" t="n">
        <v>0.0036</v>
      </c>
      <c r="K13" s="5" t="inlineStr">
        <is>
          <t>HA440</t>
        </is>
      </c>
    </row>
    <row r="14">
      <c r="A14" s="5" t="n">
        <v>13</v>
      </c>
      <c r="B14" s="6" t="inlineStr">
        <is>
          <t>HA440 INGREDIENTS for Sugar Pop Facial Mask – Cake.xlsx</t>
        </is>
      </c>
      <c r="C14" s="5" t="inlineStr">
        <is>
          <t>FACIAL MASK - CAKE</t>
        </is>
      </c>
      <c r="D14" s="5" t="inlineStr">
        <is>
          <t>HA440</t>
        </is>
      </c>
      <c r="E14" s="6" t="inlineStr">
        <is>
          <t>FACIAL MASK - CAKE</t>
        </is>
      </c>
      <c r="F14" s="5" t="inlineStr">
        <is>
          <t>FACIAL MASK - CAKE</t>
        </is>
      </c>
      <c r="G14" s="5" t="n">
        <v>13</v>
      </c>
      <c r="H14" s="6" t="inlineStr">
        <is>
          <t>FRAGRANCE</t>
        </is>
      </c>
      <c r="I14" s="6" t="n"/>
      <c r="J14" s="7" t="n">
        <v>0.001</v>
      </c>
      <c r="K14" s="5" t="inlineStr">
        <is>
          <t>HA440</t>
        </is>
      </c>
    </row>
    <row r="15">
      <c r="A15" s="5" t="n">
        <v>14</v>
      </c>
      <c r="B15" s="6" t="inlineStr">
        <is>
          <t>HA440 INGREDIENTS for Sugar Pop Facial Mask – Cake.xlsx</t>
        </is>
      </c>
      <c r="C15" s="5" t="inlineStr">
        <is>
          <t>FACIAL MASK - CAKE</t>
        </is>
      </c>
      <c r="D15" s="5" t="inlineStr">
        <is>
          <t>HA440</t>
        </is>
      </c>
      <c r="E15" s="6" t="inlineStr">
        <is>
          <t>FACIAL MASK - CAKE</t>
        </is>
      </c>
      <c r="F15" s="5" t="inlineStr">
        <is>
          <t>FACIAL MASK - CAKE</t>
        </is>
      </c>
      <c r="G15" s="5" t="n">
        <v>14</v>
      </c>
      <c r="H15" s="6" t="inlineStr">
        <is>
          <t>POLYSORBATE 60</t>
        </is>
      </c>
      <c r="I15" s="6" t="inlineStr">
        <is>
          <t>9005-67-8</t>
        </is>
      </c>
      <c r="J15" s="7" t="n">
        <v>0.001</v>
      </c>
      <c r="K15" s="5" t="inlineStr">
        <is>
          <t>HA440</t>
        </is>
      </c>
    </row>
    <row r="16">
      <c r="A16" s="5" t="n">
        <v>15</v>
      </c>
      <c r="B16" s="6" t="inlineStr">
        <is>
          <t>HA440 INGREDIENTS for Sugar Pop Facial Mask – Cake.xlsx</t>
        </is>
      </c>
      <c r="C16" s="5" t="inlineStr">
        <is>
          <t>FACIAL MASK - CAKE</t>
        </is>
      </c>
      <c r="D16" s="5" t="inlineStr">
        <is>
          <t>HA440</t>
        </is>
      </c>
      <c r="E16" s="6" t="inlineStr">
        <is>
          <t>FACIAL MASK - CAKE</t>
        </is>
      </c>
      <c r="F16" s="5" t="inlineStr">
        <is>
          <t>FACIAL MASK - CAKE</t>
        </is>
      </c>
      <c r="G16" s="5" t="n">
        <v>15</v>
      </c>
      <c r="H16" s="6" t="inlineStr">
        <is>
          <t>DISODIUM PHOSPHATE</t>
        </is>
      </c>
      <c r="I16" s="6" t="inlineStr">
        <is>
          <t>7558-79-4</t>
        </is>
      </c>
      <c r="J16" s="7" t="n">
        <v>0.001</v>
      </c>
      <c r="K16" s="5" t="inlineStr">
        <is>
          <t>HA440</t>
        </is>
      </c>
    </row>
    <row r="17">
      <c r="A17" s="5" t="n">
        <v>16</v>
      </c>
      <c r="B17" s="6" t="inlineStr">
        <is>
          <t>HA440 INGREDIENTS for Sugar Pop Facial Mask – Cake.xlsx</t>
        </is>
      </c>
      <c r="C17" s="5" t="inlineStr">
        <is>
          <t>FACIAL MASK - CAKE</t>
        </is>
      </c>
      <c r="D17" s="5" t="inlineStr">
        <is>
          <t>HA440</t>
        </is>
      </c>
      <c r="E17" s="6" t="inlineStr">
        <is>
          <t>FACIAL MASK - CAKE</t>
        </is>
      </c>
      <c r="F17" s="5" t="inlineStr">
        <is>
          <t>FACIAL MASK - CAKE</t>
        </is>
      </c>
      <c r="G17" s="5" t="n">
        <v>16</v>
      </c>
      <c r="H17" s="6" t="inlineStr">
        <is>
          <t>PEG-10</t>
        </is>
      </c>
      <c r="I17" s="6" t="inlineStr">
        <is>
          <t>5579-66-8/25322-68-3</t>
        </is>
      </c>
      <c r="J17" s="7" t="n">
        <v>0.0004</v>
      </c>
      <c r="K17" s="5" t="inlineStr">
        <is>
          <t>HA440</t>
        </is>
      </c>
    </row>
    <row r="18">
      <c r="A18" s="5" t="n">
        <v>17</v>
      </c>
      <c r="B18" s="6" t="inlineStr">
        <is>
          <t>HA440 INGREDIENTS for Sugar Pop Facial Mask – Cake.xlsx</t>
        </is>
      </c>
      <c r="C18" s="5" t="inlineStr">
        <is>
          <t>FACIAL MASK - CAKE</t>
        </is>
      </c>
      <c r="D18" s="5" t="inlineStr">
        <is>
          <t>HA440</t>
        </is>
      </c>
      <c r="E18" s="6" t="inlineStr">
        <is>
          <t>FACIAL MASK - CAKE</t>
        </is>
      </c>
      <c r="F18" s="5" t="inlineStr">
        <is>
          <t>FACIAL MASK - CAKE</t>
        </is>
      </c>
      <c r="G18" s="5" t="n">
        <v>17</v>
      </c>
      <c r="H18" s="6" t="inlineStr">
        <is>
          <t>SODIUM PHOSPHATE</t>
        </is>
      </c>
      <c r="I18" s="6" t="inlineStr">
        <is>
          <t>7558-80-7</t>
        </is>
      </c>
      <c r="J18" s="7" t="n">
        <v>0.0002</v>
      </c>
      <c r="K18" s="5" t="inlineStr">
        <is>
          <t>HA440</t>
        </is>
      </c>
    </row>
    <row r="19">
      <c r="A19" s="5" t="n">
        <v>18</v>
      </c>
      <c r="B19" s="6" t="inlineStr">
        <is>
          <t>SAH155 &amp; SAH157 INGREDIENTS for Cat Pop Hand Cream.xlsx</t>
        </is>
      </c>
      <c r="C19" s="5" t="inlineStr">
        <is>
          <t>HAND CREAM</t>
        </is>
      </c>
      <c r="D19" s="5" t="inlineStr">
        <is>
          <t>SAH155</t>
        </is>
      </c>
      <c r="E19" s="6" t="inlineStr">
        <is>
          <t>SAH155 - PEACH</t>
        </is>
      </c>
      <c r="F19" s="5" t="inlineStr">
        <is>
          <t>HAND CREAM</t>
        </is>
      </c>
      <c r="G19" s="5" t="n">
        <v>1</v>
      </c>
      <c r="H19" s="6" t="inlineStr">
        <is>
          <t>WATER</t>
        </is>
      </c>
      <c r="I19" s="6" t="inlineStr">
        <is>
          <t>7732-18-5</t>
        </is>
      </c>
      <c r="J19" s="7" t="n">
        <v>91.34</v>
      </c>
      <c r="K19" s="5" t="inlineStr">
        <is>
          <t>SAH155</t>
        </is>
      </c>
    </row>
    <row r="20">
      <c r="A20" s="5" t="n">
        <v>19</v>
      </c>
      <c r="B20" s="6" t="inlineStr">
        <is>
          <t>SAH155 &amp; SAH157 INGREDIENTS for Cat Pop Hand Cream.xlsx</t>
        </is>
      </c>
      <c r="C20" s="5" t="inlineStr">
        <is>
          <t>HAND CREAM</t>
        </is>
      </c>
      <c r="D20" s="5" t="inlineStr">
        <is>
          <t>SAH155</t>
        </is>
      </c>
      <c r="E20" s="6" t="inlineStr">
        <is>
          <t>SAH155 - PEACH</t>
        </is>
      </c>
      <c r="F20" s="5" t="inlineStr">
        <is>
          <t>HAND CREAM</t>
        </is>
      </c>
      <c r="G20" s="5" t="n">
        <v>2</v>
      </c>
      <c r="H20" s="6" t="inlineStr">
        <is>
          <t>MINERAL OIL</t>
        </is>
      </c>
      <c r="I20" s="6" t="inlineStr">
        <is>
          <t>8012-95-1;8020-83-5;8042-47-5</t>
        </is>
      </c>
      <c r="J20" s="7" t="n">
        <v>3</v>
      </c>
      <c r="K20" s="5" t="inlineStr">
        <is>
          <t>SAH155</t>
        </is>
      </c>
    </row>
    <row r="21">
      <c r="A21" s="5" t="n">
        <v>20</v>
      </c>
      <c r="B21" s="6" t="inlineStr">
        <is>
          <t>SAH155 &amp; SAH157 INGREDIENTS for Cat Pop Hand Cream.xlsx</t>
        </is>
      </c>
      <c r="C21" s="5" t="inlineStr">
        <is>
          <t>HAND CREAM</t>
        </is>
      </c>
      <c r="D21" s="5" t="inlineStr">
        <is>
          <t>SAH155</t>
        </is>
      </c>
      <c r="E21" s="6" t="inlineStr">
        <is>
          <t>SAH155 - PEACH</t>
        </is>
      </c>
      <c r="F21" s="5" t="inlineStr">
        <is>
          <t>HAND CREAM</t>
        </is>
      </c>
      <c r="G21" s="5" t="n">
        <v>3</v>
      </c>
      <c r="H21" s="6" t="inlineStr">
        <is>
          <t>PETROLATUM</t>
        </is>
      </c>
      <c r="I21" s="6" t="inlineStr">
        <is>
          <t>8009-03-8</t>
        </is>
      </c>
      <c r="J21" s="7" t="n">
        <v>2</v>
      </c>
      <c r="K21" s="5" t="inlineStr">
        <is>
          <t>SAH155</t>
        </is>
      </c>
    </row>
    <row r="22">
      <c r="A22" s="5" t="n">
        <v>21</v>
      </c>
      <c r="B22" s="6" t="inlineStr">
        <is>
          <t>SAH155 &amp; SAH157 INGREDIENTS for Cat Pop Hand Cream.xlsx</t>
        </is>
      </c>
      <c r="C22" s="5" t="inlineStr">
        <is>
          <t>HAND CREAM</t>
        </is>
      </c>
      <c r="D22" s="5" t="inlineStr">
        <is>
          <t>SAH155</t>
        </is>
      </c>
      <c r="E22" s="6" t="inlineStr">
        <is>
          <t>SAH155 - PEACH</t>
        </is>
      </c>
      <c r="F22" s="5" t="inlineStr">
        <is>
          <t>HAND CREAM</t>
        </is>
      </c>
      <c r="G22" s="5" t="n">
        <v>4</v>
      </c>
      <c r="H22" s="6" t="inlineStr">
        <is>
          <t>CETEARYL ALCOHOL</t>
        </is>
      </c>
      <c r="I22" s="6" t="inlineStr">
        <is>
          <t>8005-44-5;67762-27-0</t>
        </is>
      </c>
      <c r="J22" s="7" t="n">
        <v>1.2</v>
      </c>
      <c r="K22" s="5" t="inlineStr">
        <is>
          <t>SAH155</t>
        </is>
      </c>
    </row>
    <row r="23">
      <c r="A23" s="5" t="n">
        <v>22</v>
      </c>
      <c r="B23" s="6" t="inlineStr">
        <is>
          <t>SAH155 &amp; SAH157 INGREDIENTS for Cat Pop Hand Cream.xlsx</t>
        </is>
      </c>
      <c r="C23" s="5" t="inlineStr">
        <is>
          <t>HAND CREAM</t>
        </is>
      </c>
      <c r="D23" s="5" t="inlineStr">
        <is>
          <t>SAH155</t>
        </is>
      </c>
      <c r="E23" s="6" t="inlineStr">
        <is>
          <t>SAH155 - PEACH</t>
        </is>
      </c>
      <c r="F23" s="5" t="inlineStr">
        <is>
          <t>HAND CREAM</t>
        </is>
      </c>
      <c r="G23" s="5" t="n">
        <v>5</v>
      </c>
      <c r="H23" s="6" t="inlineStr">
        <is>
          <t>ACRYLATES COPOLYMER</t>
        </is>
      </c>
      <c r="I23" s="6" t="inlineStr">
        <is>
          <t>25035-69-2;25212-88-8;25685-29-4;159666-35-0</t>
        </is>
      </c>
      <c r="J23" s="7" t="n">
        <v>1.2</v>
      </c>
      <c r="K23" s="5" t="inlineStr">
        <is>
          <t>SAH155</t>
        </is>
      </c>
    </row>
    <row r="24">
      <c r="A24" s="5" t="n">
        <v>23</v>
      </c>
      <c r="B24" s="6" t="inlineStr">
        <is>
          <t>SAH155 &amp; SAH157 INGREDIENTS for Cat Pop Hand Cream.xlsx</t>
        </is>
      </c>
      <c r="C24" s="5" t="inlineStr">
        <is>
          <t>HAND CREAM</t>
        </is>
      </c>
      <c r="D24" s="5" t="inlineStr">
        <is>
          <t>SAH155</t>
        </is>
      </c>
      <c r="E24" s="6" t="inlineStr">
        <is>
          <t>SAH155 - PEACH</t>
        </is>
      </c>
      <c r="F24" s="5" t="inlineStr">
        <is>
          <t>HAND CREAM</t>
        </is>
      </c>
      <c r="G24" s="5" t="n">
        <v>6</v>
      </c>
      <c r="H24" s="6" t="inlineStr">
        <is>
          <t>DIMETHICONE</t>
        </is>
      </c>
      <c r="I24" s="6" t="inlineStr">
        <is>
          <t>63148-62-9</t>
        </is>
      </c>
      <c r="J24" s="7" t="n">
        <v>0.5</v>
      </c>
      <c r="K24" s="5" t="inlineStr">
        <is>
          <t>SAH155</t>
        </is>
      </c>
    </row>
    <row r="25">
      <c r="A25" s="5" t="n">
        <v>24</v>
      </c>
      <c r="B25" s="6" t="inlineStr">
        <is>
          <t>SAH155 &amp; SAH157 INGREDIENTS for Cat Pop Hand Cream.xlsx</t>
        </is>
      </c>
      <c r="C25" s="5" t="inlineStr">
        <is>
          <t>HAND CREAM</t>
        </is>
      </c>
      <c r="D25" s="5" t="inlineStr">
        <is>
          <t>SAH155</t>
        </is>
      </c>
      <c r="E25" s="6" t="inlineStr">
        <is>
          <t>SAH155 - PEACH</t>
        </is>
      </c>
      <c r="F25" s="5" t="inlineStr">
        <is>
          <t>HAND CREAM</t>
        </is>
      </c>
      <c r="G25" s="5" t="n">
        <v>7</v>
      </c>
      <c r="H25" s="6" t="inlineStr">
        <is>
          <t>DIAZOLIDINYL UREA</t>
        </is>
      </c>
      <c r="I25" s="6" t="inlineStr">
        <is>
          <t>78491-02-8</t>
        </is>
      </c>
      <c r="J25" s="7" t="n">
        <v>0.2</v>
      </c>
      <c r="K25" s="5" t="inlineStr">
        <is>
          <t>SAH155</t>
        </is>
      </c>
    </row>
    <row r="26">
      <c r="A26" s="5" t="n">
        <v>25</v>
      </c>
      <c r="B26" s="6" t="inlineStr">
        <is>
          <t>SAH155 &amp; SAH157 INGREDIENTS for Cat Pop Hand Cream.xlsx</t>
        </is>
      </c>
      <c r="C26" s="5" t="inlineStr">
        <is>
          <t>HAND CREAM</t>
        </is>
      </c>
      <c r="D26" s="5" t="inlineStr">
        <is>
          <t>SAH155</t>
        </is>
      </c>
      <c r="E26" s="6" t="inlineStr">
        <is>
          <t>SAH155 - PEACH</t>
        </is>
      </c>
      <c r="F26" s="5" t="inlineStr">
        <is>
          <t>HAND CREAM</t>
        </is>
      </c>
      <c r="G26" s="5" t="n">
        <v>8</v>
      </c>
      <c r="H26" s="6" t="inlineStr">
        <is>
          <t>METHYLPARABEN</t>
        </is>
      </c>
      <c r="I26" s="6" t="inlineStr">
        <is>
          <t>99-76-3</t>
        </is>
      </c>
      <c r="J26" s="7" t="n">
        <v>0.2</v>
      </c>
      <c r="K26" s="5" t="inlineStr">
        <is>
          <t>SAH155</t>
        </is>
      </c>
    </row>
    <row r="27">
      <c r="A27" s="5" t="n">
        <v>26</v>
      </c>
      <c r="B27" s="6" t="inlineStr">
        <is>
          <t>SAH155 &amp; SAH157 INGREDIENTS for Cat Pop Hand Cream.xlsx</t>
        </is>
      </c>
      <c r="C27" s="5" t="inlineStr">
        <is>
          <t>HAND CREAM</t>
        </is>
      </c>
      <c r="D27" s="5" t="inlineStr">
        <is>
          <t>SAH155</t>
        </is>
      </c>
      <c r="E27" s="6" t="inlineStr">
        <is>
          <t>SAH155 - PEACH</t>
        </is>
      </c>
      <c r="F27" s="5" t="inlineStr">
        <is>
          <t>HAND CREAM</t>
        </is>
      </c>
      <c r="G27" s="5" t="n">
        <v>9</v>
      </c>
      <c r="H27" s="6" t="inlineStr">
        <is>
          <t>FRAGRANCE</t>
        </is>
      </c>
      <c r="I27" s="6" t="n"/>
      <c r="J27" s="7" t="n">
        <v>0.2</v>
      </c>
      <c r="K27" s="5" t="inlineStr">
        <is>
          <t>SAH155</t>
        </is>
      </c>
    </row>
    <row r="28">
      <c r="A28" s="5" t="n">
        <v>27</v>
      </c>
      <c r="B28" s="6" t="inlineStr">
        <is>
          <t>SAH155 &amp; SAH157 INGREDIENTS for Cat Pop Hand Cream.xlsx</t>
        </is>
      </c>
      <c r="C28" s="5" t="inlineStr">
        <is>
          <t>HAND CREAM</t>
        </is>
      </c>
      <c r="D28" s="5" t="inlineStr">
        <is>
          <t>SAH155</t>
        </is>
      </c>
      <c r="E28" s="6" t="inlineStr">
        <is>
          <t>SAH155 - PEACH</t>
        </is>
      </c>
      <c r="F28" s="5" t="inlineStr">
        <is>
          <t>HAND CREAM</t>
        </is>
      </c>
      <c r="G28" s="5" t="n">
        <v>10</v>
      </c>
      <c r="H28" s="6" t="inlineStr">
        <is>
          <t>PROPYLPARABEN</t>
        </is>
      </c>
      <c r="I28" s="6" t="inlineStr">
        <is>
          <t>94-13-3</t>
        </is>
      </c>
      <c r="J28" s="7" t="n">
        <v>0.1</v>
      </c>
      <c r="K28" s="5" t="inlineStr">
        <is>
          <t>SAH155</t>
        </is>
      </c>
    </row>
    <row r="29">
      <c r="A29" s="5" t="n">
        <v>28</v>
      </c>
      <c r="B29" s="6" t="inlineStr">
        <is>
          <t>SAH155 &amp; SAH157 INGREDIENTS for Cat Pop Hand Cream.xlsx</t>
        </is>
      </c>
      <c r="C29" s="5" t="inlineStr">
        <is>
          <t>HAND CREAM</t>
        </is>
      </c>
      <c r="D29" s="5" t="inlineStr">
        <is>
          <t>SAH155</t>
        </is>
      </c>
      <c r="E29" s="6" t="inlineStr">
        <is>
          <t>SAH155 - PEACH</t>
        </is>
      </c>
      <c r="F29" s="5" t="inlineStr">
        <is>
          <t>HAND CREAM</t>
        </is>
      </c>
      <c r="G29" s="5" t="n">
        <v>11</v>
      </c>
      <c r="H29" s="6" t="inlineStr">
        <is>
          <t>XANTHAN GUM</t>
        </is>
      </c>
      <c r="I29" s="6" t="inlineStr">
        <is>
          <t>11138-66-2</t>
        </is>
      </c>
      <c r="J29" s="7" t="n">
        <v>0.05</v>
      </c>
      <c r="K29" s="5" t="inlineStr">
        <is>
          <t>SAH155</t>
        </is>
      </c>
    </row>
    <row r="30">
      <c r="A30" s="5" t="n">
        <v>29</v>
      </c>
      <c r="B30" s="6" t="inlineStr">
        <is>
          <t>SAH155 &amp; SAH157 INGREDIENTS for Cat Pop Hand Cream.xlsx</t>
        </is>
      </c>
      <c r="C30" s="5" t="inlineStr">
        <is>
          <t>HAND CREAM</t>
        </is>
      </c>
      <c r="D30" s="5" t="inlineStr">
        <is>
          <t>SAH155</t>
        </is>
      </c>
      <c r="E30" s="6" t="inlineStr">
        <is>
          <t>SAH155 - PEACH</t>
        </is>
      </c>
      <c r="F30" s="5" t="inlineStr">
        <is>
          <t>HAND CREAM</t>
        </is>
      </c>
      <c r="G30" s="5" t="n">
        <v>12</v>
      </c>
      <c r="H30" s="6" t="inlineStr">
        <is>
          <t>PRUNUS PERSICA (PEACH) FRUIT EXTRACT</t>
        </is>
      </c>
      <c r="I30" s="6" t="inlineStr">
        <is>
          <t>84012-34-0</t>
        </is>
      </c>
      <c r="J30" s="7" t="n">
        <v>0.01</v>
      </c>
      <c r="K30" s="5" t="inlineStr">
        <is>
          <t>SAH155</t>
        </is>
      </c>
    </row>
    <row r="31">
      <c r="A31" s="5" t="n">
        <v>30</v>
      </c>
      <c r="B31" s="6" t="inlineStr">
        <is>
          <t>SAH155 &amp; SAH157 INGREDIENTS for Cat Pop Hand Cream.xlsx</t>
        </is>
      </c>
      <c r="C31" s="5" t="inlineStr">
        <is>
          <t>HAND CREAM</t>
        </is>
      </c>
      <c r="D31" s="5" t="inlineStr">
        <is>
          <t>SAH157</t>
        </is>
      </c>
      <c r="E31" s="6" t="inlineStr">
        <is>
          <t>SAH157 - VITAMIN C</t>
        </is>
      </c>
      <c r="F31" s="5" t="inlineStr">
        <is>
          <t>HAND CREAM</t>
        </is>
      </c>
      <c r="G31" s="5" t="n">
        <v>1</v>
      </c>
      <c r="H31" s="6" t="inlineStr">
        <is>
          <t>WATER</t>
        </is>
      </c>
      <c r="I31" s="6" t="inlineStr">
        <is>
          <t>7732-18-5</t>
        </is>
      </c>
      <c r="J31" s="7" t="n">
        <v>91.3</v>
      </c>
      <c r="K31" s="5" t="inlineStr">
        <is>
          <t>SAH157</t>
        </is>
      </c>
    </row>
    <row r="32">
      <c r="A32" s="5" t="n">
        <v>31</v>
      </c>
      <c r="B32" s="6" t="inlineStr">
        <is>
          <t>SAH155 &amp; SAH157 INGREDIENTS for Cat Pop Hand Cream.xlsx</t>
        </is>
      </c>
      <c r="C32" s="5" t="inlineStr">
        <is>
          <t>HAND CREAM</t>
        </is>
      </c>
      <c r="D32" s="5" t="inlineStr">
        <is>
          <t>SAH157</t>
        </is>
      </c>
      <c r="E32" s="6" t="inlineStr">
        <is>
          <t>SAH157 - VITAMIN C</t>
        </is>
      </c>
      <c r="F32" s="5" t="inlineStr">
        <is>
          <t>HAND CREAM</t>
        </is>
      </c>
      <c r="G32" s="5" t="n">
        <v>2</v>
      </c>
      <c r="H32" s="6" t="inlineStr">
        <is>
          <t>MINERAL OIL</t>
        </is>
      </c>
      <c r="I32" s="6" t="inlineStr">
        <is>
          <t>8012-95-1;8020-83-5;8042-47-5</t>
        </is>
      </c>
      <c r="J32" s="7" t="n">
        <v>3</v>
      </c>
      <c r="K32" s="5" t="inlineStr">
        <is>
          <t>SAH157</t>
        </is>
      </c>
    </row>
    <row r="33">
      <c r="A33" s="5" t="n">
        <v>32</v>
      </c>
      <c r="B33" s="6" t="inlineStr">
        <is>
          <t>SAH155 &amp; SAH157 INGREDIENTS for Cat Pop Hand Cream.xlsx</t>
        </is>
      </c>
      <c r="C33" s="5" t="inlineStr">
        <is>
          <t>HAND CREAM</t>
        </is>
      </c>
      <c r="D33" s="5" t="inlineStr">
        <is>
          <t>SAH157</t>
        </is>
      </c>
      <c r="E33" s="6" t="inlineStr">
        <is>
          <t>SAH157 - VITAMIN C</t>
        </is>
      </c>
      <c r="F33" s="5" t="inlineStr">
        <is>
          <t>HAND CREAM</t>
        </is>
      </c>
      <c r="G33" s="5" t="n">
        <v>3</v>
      </c>
      <c r="H33" s="6" t="inlineStr">
        <is>
          <t>PETROLATUM</t>
        </is>
      </c>
      <c r="I33" s="6" t="inlineStr">
        <is>
          <t>8009-03-8</t>
        </is>
      </c>
      <c r="J33" s="7" t="n">
        <v>2</v>
      </c>
      <c r="K33" s="5" t="inlineStr">
        <is>
          <t>SAH157</t>
        </is>
      </c>
    </row>
    <row r="34">
      <c r="A34" s="5" t="n">
        <v>33</v>
      </c>
      <c r="B34" s="6" t="inlineStr">
        <is>
          <t>SAH155 &amp; SAH157 INGREDIENTS for Cat Pop Hand Cream.xlsx</t>
        </is>
      </c>
      <c r="C34" s="5" t="inlineStr">
        <is>
          <t>HAND CREAM</t>
        </is>
      </c>
      <c r="D34" s="5" t="inlineStr">
        <is>
          <t>SAH157</t>
        </is>
      </c>
      <c r="E34" s="6" t="inlineStr">
        <is>
          <t>SAH157 - VITAMIN C</t>
        </is>
      </c>
      <c r="F34" s="5" t="inlineStr">
        <is>
          <t>HAND CREAM</t>
        </is>
      </c>
      <c r="G34" s="5" t="n">
        <v>4</v>
      </c>
      <c r="H34" s="6" t="inlineStr">
        <is>
          <t>CETEARYL ALCOHOL</t>
        </is>
      </c>
      <c r="I34" s="6" t="inlineStr">
        <is>
          <t>8005-44-5;67762-27-0</t>
        </is>
      </c>
      <c r="J34" s="7" t="n">
        <v>1.2</v>
      </c>
      <c r="K34" s="5" t="inlineStr">
        <is>
          <t>SAH157</t>
        </is>
      </c>
    </row>
    <row r="35">
      <c r="A35" s="5" t="n">
        <v>34</v>
      </c>
      <c r="B35" s="6" t="inlineStr">
        <is>
          <t>SAH155 &amp; SAH157 INGREDIENTS for Cat Pop Hand Cream.xlsx</t>
        </is>
      </c>
      <c r="C35" s="5" t="inlineStr">
        <is>
          <t>HAND CREAM</t>
        </is>
      </c>
      <c r="D35" s="5" t="inlineStr">
        <is>
          <t>SAH157</t>
        </is>
      </c>
      <c r="E35" s="6" t="inlineStr">
        <is>
          <t>SAH157 - VITAMIN C</t>
        </is>
      </c>
      <c r="F35" s="5" t="inlineStr">
        <is>
          <t>HAND CREAM</t>
        </is>
      </c>
      <c r="G35" s="5" t="n">
        <v>5</v>
      </c>
      <c r="H35" s="6" t="inlineStr">
        <is>
          <t>ACRYLATES COPOLYMER</t>
        </is>
      </c>
      <c r="I35" s="6" t="inlineStr">
        <is>
          <t>25035-69-2;25212-88-8;25685-29-4;159666-35-0</t>
        </is>
      </c>
      <c r="J35" s="7" t="n">
        <v>1.2</v>
      </c>
      <c r="K35" s="5" t="inlineStr">
        <is>
          <t>SAH157</t>
        </is>
      </c>
    </row>
    <row r="36">
      <c r="A36" s="5" t="n">
        <v>35</v>
      </c>
      <c r="B36" s="6" t="inlineStr">
        <is>
          <t>SAH155 &amp; SAH157 INGREDIENTS for Cat Pop Hand Cream.xlsx</t>
        </is>
      </c>
      <c r="C36" s="5" t="inlineStr">
        <is>
          <t>HAND CREAM</t>
        </is>
      </c>
      <c r="D36" s="5" t="inlineStr">
        <is>
          <t>SAH157</t>
        </is>
      </c>
      <c r="E36" s="6" t="inlineStr">
        <is>
          <t>SAH157 - VITAMIN C</t>
        </is>
      </c>
      <c r="F36" s="5" t="inlineStr">
        <is>
          <t>HAND CREAM</t>
        </is>
      </c>
      <c r="G36" s="5" t="n">
        <v>6</v>
      </c>
      <c r="H36" s="6" t="inlineStr">
        <is>
          <t>DIMETHICONE</t>
        </is>
      </c>
      <c r="I36" s="6" t="inlineStr">
        <is>
          <t>63148-62-9</t>
        </is>
      </c>
      <c r="J36" s="7" t="n">
        <v>0.5</v>
      </c>
      <c r="K36" s="5" t="inlineStr">
        <is>
          <t>SAH157</t>
        </is>
      </c>
    </row>
    <row r="37">
      <c r="A37" s="5" t="n">
        <v>36</v>
      </c>
      <c r="B37" s="6" t="inlineStr">
        <is>
          <t>SAH155 &amp; SAH157 INGREDIENTS for Cat Pop Hand Cream.xlsx</t>
        </is>
      </c>
      <c r="C37" s="5" t="inlineStr">
        <is>
          <t>HAND CREAM</t>
        </is>
      </c>
      <c r="D37" s="5" t="inlineStr">
        <is>
          <t>SAH157</t>
        </is>
      </c>
      <c r="E37" s="6" t="inlineStr">
        <is>
          <t>SAH157 - VITAMIN C</t>
        </is>
      </c>
      <c r="F37" s="5" t="inlineStr">
        <is>
          <t>HAND CREAM</t>
        </is>
      </c>
      <c r="G37" s="5" t="n">
        <v>7</v>
      </c>
      <c r="H37" s="6" t="inlineStr">
        <is>
          <t>DIAZOLIDINYL UREA</t>
        </is>
      </c>
      <c r="I37" s="6" t="inlineStr">
        <is>
          <t>78491-02-8</t>
        </is>
      </c>
      <c r="J37" s="7" t="n">
        <v>0.2</v>
      </c>
      <c r="K37" s="5" t="inlineStr">
        <is>
          <t>SAH157</t>
        </is>
      </c>
    </row>
    <row r="38">
      <c r="A38" s="5" t="n">
        <v>37</v>
      </c>
      <c r="B38" s="6" t="inlineStr">
        <is>
          <t>SAH155 &amp; SAH157 INGREDIENTS for Cat Pop Hand Cream.xlsx</t>
        </is>
      </c>
      <c r="C38" s="5" t="inlineStr">
        <is>
          <t>HAND CREAM</t>
        </is>
      </c>
      <c r="D38" s="5" t="inlineStr">
        <is>
          <t>SAH157</t>
        </is>
      </c>
      <c r="E38" s="6" t="inlineStr">
        <is>
          <t>SAH157 - VITAMIN C</t>
        </is>
      </c>
      <c r="F38" s="5" t="inlineStr">
        <is>
          <t>HAND CREAM</t>
        </is>
      </c>
      <c r="G38" s="5" t="n">
        <v>8</v>
      </c>
      <c r="H38" s="6" t="inlineStr">
        <is>
          <t>METHYLPARABEN</t>
        </is>
      </c>
      <c r="I38" s="6" t="inlineStr">
        <is>
          <t>99-76-3</t>
        </is>
      </c>
      <c r="J38" s="7" t="n">
        <v>0.2</v>
      </c>
      <c r="K38" s="5" t="inlineStr">
        <is>
          <t>SAH157</t>
        </is>
      </c>
    </row>
    <row r="39">
      <c r="A39" s="5" t="n">
        <v>38</v>
      </c>
      <c r="B39" s="6" t="inlineStr">
        <is>
          <t>SAH155 &amp; SAH157 INGREDIENTS for Cat Pop Hand Cream.xlsx</t>
        </is>
      </c>
      <c r="C39" s="5" t="inlineStr">
        <is>
          <t>HAND CREAM</t>
        </is>
      </c>
      <c r="D39" s="5" t="inlineStr">
        <is>
          <t>SAH157</t>
        </is>
      </c>
      <c r="E39" s="6" t="inlineStr">
        <is>
          <t>SAH157 - VITAMIN C</t>
        </is>
      </c>
      <c r="F39" s="5" t="inlineStr">
        <is>
          <t>HAND CREAM</t>
        </is>
      </c>
      <c r="G39" s="5" t="n">
        <v>9</v>
      </c>
      <c r="H39" s="6" t="inlineStr">
        <is>
          <t>FRAGRANCE</t>
        </is>
      </c>
      <c r="I39" s="6" t="n"/>
      <c r="J39" s="7" t="n">
        <v>0.2</v>
      </c>
      <c r="K39" s="5" t="inlineStr">
        <is>
          <t>SAH157</t>
        </is>
      </c>
    </row>
    <row r="40">
      <c r="A40" s="5" t="n">
        <v>39</v>
      </c>
      <c r="B40" s="6" t="inlineStr">
        <is>
          <t>SAH155 &amp; SAH157 INGREDIENTS for Cat Pop Hand Cream.xlsx</t>
        </is>
      </c>
      <c r="C40" s="5" t="inlineStr">
        <is>
          <t>HAND CREAM</t>
        </is>
      </c>
      <c r="D40" s="5" t="inlineStr">
        <is>
          <t>SAH157</t>
        </is>
      </c>
      <c r="E40" s="6" t="inlineStr">
        <is>
          <t>SAH157 - VITAMIN C</t>
        </is>
      </c>
      <c r="F40" s="5" t="inlineStr">
        <is>
          <t>HAND CREAM</t>
        </is>
      </c>
      <c r="G40" s="5" t="n">
        <v>10</v>
      </c>
      <c r="H40" s="6" t="inlineStr">
        <is>
          <t>PROPYLPARABEN</t>
        </is>
      </c>
      <c r="I40" s="6" t="inlineStr">
        <is>
          <t>94-13-3</t>
        </is>
      </c>
      <c r="J40" s="7" t="n">
        <v>0.1</v>
      </c>
      <c r="K40" s="5" t="inlineStr">
        <is>
          <t>SAH157</t>
        </is>
      </c>
    </row>
    <row r="41">
      <c r="A41" s="5" t="n">
        <v>40</v>
      </c>
      <c r="B41" s="6" t="inlineStr">
        <is>
          <t>SAH155 &amp; SAH157 INGREDIENTS for Cat Pop Hand Cream.xlsx</t>
        </is>
      </c>
      <c r="C41" s="5" t="inlineStr">
        <is>
          <t>HAND CREAM</t>
        </is>
      </c>
      <c r="D41" s="5" t="inlineStr">
        <is>
          <t>SAH157</t>
        </is>
      </c>
      <c r="E41" s="6" t="inlineStr">
        <is>
          <t>SAH157 - VITAMIN C</t>
        </is>
      </c>
      <c r="F41" s="5" t="inlineStr">
        <is>
          <t>HAND CREAM</t>
        </is>
      </c>
      <c r="G41" s="5" t="n">
        <v>11</v>
      </c>
      <c r="H41" s="6" t="inlineStr">
        <is>
          <t>XANTHAN GUM</t>
        </is>
      </c>
      <c r="I41" s="6" t="inlineStr">
        <is>
          <t>11138-66-2</t>
        </is>
      </c>
      <c r="J41" s="7" t="n">
        <v>0.05</v>
      </c>
      <c r="K41" s="5" t="inlineStr">
        <is>
          <t>SAH157</t>
        </is>
      </c>
    </row>
    <row r="42">
      <c r="A42" s="5" t="n">
        <v>41</v>
      </c>
      <c r="B42" s="6" t="inlineStr">
        <is>
          <t>SAH155 &amp; SAH157 INGREDIENTS for Cat Pop Hand Cream.xlsx</t>
        </is>
      </c>
      <c r="C42" s="5" t="inlineStr">
        <is>
          <t>HAND CREAM</t>
        </is>
      </c>
      <c r="D42" s="5" t="inlineStr">
        <is>
          <t>SAH157</t>
        </is>
      </c>
      <c r="E42" s="6" t="inlineStr">
        <is>
          <t>SAH157 - VITAMIN C</t>
        </is>
      </c>
      <c r="F42" s="5" t="inlineStr">
        <is>
          <t>HAND CREAM</t>
        </is>
      </c>
      <c r="G42" s="5" t="n">
        <v>13</v>
      </c>
      <c r="H42" s="6" t="inlineStr">
        <is>
          <t>3-o-ETHYL ASCORBIC ACID</t>
        </is>
      </c>
      <c r="I42" s="6" t="inlineStr">
        <is>
          <t>86404-04-8</t>
        </is>
      </c>
      <c r="J42" s="7" t="n">
        <v>0.05</v>
      </c>
      <c r="K42" s="5" t="inlineStr">
        <is>
          <t>SAH157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30" customWidth="1" min="5" max="5"/>
    <col width="30" customWidth="1" min="6" max="6"/>
    <col width="13" customWidth="1" min="7" max="7"/>
    <col width="20" customWidth="1" min="8" max="8"/>
    <col width="30" customWidth="1" min="9" max="9"/>
    <col width="30" customWidth="1" min="10" max="10"/>
    <col width="14" customWidth="1" min="11" max="11"/>
    <col width="18" customWidth="1" min="12" max="12"/>
    <col width="16" customWidth="1" min="13" max="13"/>
    <col width="19" customWidth="1" min="14" max="14"/>
    <col width="30" customWidth="1" min="15" max="15"/>
    <col width="19" customWidth="1" min="16" max="16"/>
    <col width="30" customWidth="1" min="17" max="17"/>
    <col width="24" customWidth="1" min="18" max="18"/>
    <col width="19" customWidth="1" min="19" max="19"/>
    <col width="30" customWidth="1" min="20" max="20"/>
    <col width="19" customWidth="1" min="21" max="21"/>
    <col width="30" customWidth="1" min="22" max="22"/>
    <col width="21" customWidth="1" min="23" max="23"/>
    <col width="19" customWidth="1" min="24" max="24"/>
    <col width="29" customWidth="1" min="25" max="25"/>
    <col width="12" customWidth="1" min="26" max="26"/>
    <col width="24" customWidth="1" min="27" max="27"/>
    <col width="12" customWidth="1" min="28" max="28"/>
    <col width="12" customWidth="1" min="29" max="29"/>
    <col width="20" customWidth="1" min="30" max="30"/>
    <col width="12" customWidth="1" min="31" max="31"/>
    <col width="23" customWidth="1" min="32" max="32"/>
    <col width="14" customWidth="1" min="33" max="33"/>
    <col width="30" customWidth="1" min="34" max="34"/>
    <col width="30" customWidth="1" min="35" max="35"/>
    <col width="30" customWidth="1" min="36" max="36"/>
    <col width="19" customWidth="1" min="37" max="37"/>
    <col width="21" customWidth="1" min="38" max="38"/>
    <col width="12" customWidth="1" min="39" max="39"/>
    <col width="14" customWidth="1" min="40" max="40"/>
  </cols>
  <sheetData>
    <row r="1">
      <c r="A1" s="8" t="inlineStr">
        <is>
          <t>Client Input</t>
        </is>
      </c>
      <c r="B1" s="29" t="n"/>
      <c r="C1" s="29" t="n"/>
      <c r="D1" s="29" t="n"/>
      <c r="E1" s="29" t="n"/>
      <c r="F1" s="29" t="n"/>
      <c r="G1" s="29" t="n"/>
      <c r="H1" s="30" t="n"/>
      <c r="I1" s="10" t="inlineStr">
        <is>
          <t>Matching / Normalization</t>
        </is>
      </c>
      <c r="J1" s="29" t="n"/>
      <c r="K1" s="29" t="n"/>
      <c r="L1" s="29" t="n"/>
      <c r="M1" s="30" t="n"/>
      <c r="N1" s="11" t="inlineStr">
        <is>
          <t>CA Prohibited</t>
        </is>
      </c>
      <c r="O1" s="29" t="n"/>
      <c r="P1" s="29" t="n"/>
      <c r="Q1" s="29" t="n"/>
      <c r="R1" s="30" t="n"/>
      <c r="S1" s="12" t="inlineStr">
        <is>
          <t>CA Restricted</t>
        </is>
      </c>
      <c r="T1" s="29" t="n"/>
      <c r="U1" s="29" t="n"/>
      <c r="V1" s="29" t="n"/>
      <c r="W1" s="29" t="n"/>
      <c r="X1" s="29" t="n"/>
      <c r="Y1" s="30" t="n"/>
      <c r="Z1" s="13" t="inlineStr">
        <is>
          <t>CIR</t>
        </is>
      </c>
      <c r="AA1" s="29" t="n"/>
      <c r="AB1" s="29" t="n"/>
      <c r="AC1" s="29" t="n"/>
      <c r="AD1" s="30" t="n"/>
      <c r="AE1" s="11" t="inlineStr">
        <is>
          <t>CFR</t>
        </is>
      </c>
      <c r="AF1" s="29" t="n"/>
      <c r="AG1" s="30" t="n"/>
      <c r="AH1" s="14" t="inlineStr">
        <is>
          <t>Overall Review</t>
        </is>
      </c>
      <c r="AI1" s="29" t="n"/>
      <c r="AJ1" s="29" t="n"/>
      <c r="AK1" s="29" t="n"/>
      <c r="AL1" s="29" t="n"/>
      <c r="AM1" s="29" t="n"/>
      <c r="AN1" s="30" t="n"/>
    </row>
    <row r="2">
      <c r="A2" s="15" t="inlineStr">
        <is>
          <t>Record ID</t>
        </is>
      </c>
      <c r="B2" s="15" t="inlineStr">
        <is>
          <t>Formula Code</t>
        </is>
      </c>
      <c r="C2" s="15" t="inlineStr">
        <is>
          <t>Formula Name</t>
        </is>
      </c>
      <c r="D2" s="15" t="inlineStr">
        <is>
          <t>Ingredient No</t>
        </is>
      </c>
      <c r="E2" s="15" t="inlineStr">
        <is>
          <t>Raw INCI Name</t>
        </is>
      </c>
      <c r="F2" s="15" t="inlineStr">
        <is>
          <t>Raw CAS No</t>
        </is>
      </c>
      <c r="G2" s="15" t="inlineStr">
        <is>
          <t>Input W/W %</t>
        </is>
      </c>
      <c r="H2" s="15" t="inlineStr">
        <is>
          <t>Product Family</t>
        </is>
      </c>
      <c r="I2" s="16" t="inlineStr">
        <is>
          <t>Normalized / Screening Key Name</t>
        </is>
      </c>
      <c r="J2" s="16" t="inlineStr">
        <is>
          <t>Normalized / Screening Key CAS</t>
        </is>
      </c>
      <c r="K2" s="16" t="inlineStr">
        <is>
          <t>Match Method</t>
        </is>
      </c>
      <c r="L2" s="16" t="inlineStr">
        <is>
          <t>Match Confidence</t>
        </is>
      </c>
      <c r="M2" s="16" t="inlineStr">
        <is>
          <t>Manual Review?</t>
        </is>
      </c>
      <c r="N2" s="17" t="inlineStr">
        <is>
          <t>CA Prohibited Hit</t>
        </is>
      </c>
      <c r="O2" s="17" t="inlineStr">
        <is>
          <t>CA Prohibited Matched Ingredient</t>
        </is>
      </c>
      <c r="P2" s="17" t="inlineStr">
        <is>
          <t>CA Prohibited CAS</t>
        </is>
      </c>
      <c r="Q2" s="17" t="inlineStr">
        <is>
          <t>CA Prohibited Synonyms / Related</t>
        </is>
      </c>
      <c r="R2" s="17" t="inlineStr">
        <is>
          <t>CA Prohibited Evidence</t>
        </is>
      </c>
      <c r="S2" s="18" t="inlineStr">
        <is>
          <t>CA Restricted Hit</t>
        </is>
      </c>
      <c r="T2" s="18" t="inlineStr">
        <is>
          <t>CA Restricted Matched Ingredient</t>
        </is>
      </c>
      <c r="U2" s="18" t="inlineStr">
        <is>
          <t>CA Restricted CAS</t>
        </is>
      </c>
      <c r="V2" s="18" t="inlineStr">
        <is>
          <t>Conditions of Use / Allowed Body Site</t>
        </is>
      </c>
      <c r="W2" s="18" t="inlineStr">
        <is>
          <t>Max Conc. Permitted</t>
        </is>
      </c>
      <c r="X2" s="18" t="inlineStr">
        <is>
          <t>Warning Statement</t>
        </is>
      </c>
      <c r="Y2" s="18" t="inlineStr">
        <is>
          <t>Restriction Assessment Note</t>
        </is>
      </c>
      <c r="Z2" s="19" t="inlineStr">
        <is>
          <t>CIR Hit</t>
        </is>
      </c>
      <c r="AA2" s="19" t="inlineStr">
        <is>
          <t>CIR Matched Ingredient</t>
        </is>
      </c>
      <c r="AB2" s="19" t="inlineStr">
        <is>
          <t>Finding</t>
        </is>
      </c>
      <c r="AC2" s="19" t="inlineStr">
        <is>
          <t>Conclusion</t>
        </is>
      </c>
      <c r="AD2" s="19" t="inlineStr">
        <is>
          <t>CIR Interpretation</t>
        </is>
      </c>
      <c r="AE2" s="17" t="inlineStr">
        <is>
          <t>CFR Hit</t>
        </is>
      </c>
      <c r="AF2" s="17" t="inlineStr">
        <is>
          <t>CFR Matched Substance</t>
        </is>
      </c>
      <c r="AG2" s="17" t="inlineStr">
        <is>
          <t>CFR Evidence</t>
        </is>
      </c>
      <c r="AH2" s="20" t="inlineStr">
        <is>
          <t>Hard Stop?</t>
        </is>
      </c>
      <c r="AI2" s="20" t="inlineStr">
        <is>
          <t>Regulatory Summary</t>
        </is>
      </c>
      <c r="AJ2" s="20" t="inlineStr">
        <is>
          <t>Recommended Action</t>
        </is>
      </c>
      <c r="AK2" s="20" t="inlineStr">
        <is>
          <t>Final Disposition</t>
        </is>
      </c>
      <c r="AL2" s="20" t="inlineStr">
        <is>
          <t>Reviewer / AI Notes</t>
        </is>
      </c>
      <c r="AM2" s="20" t="inlineStr">
        <is>
          <t>Checked By</t>
        </is>
      </c>
      <c r="AN2" s="20" t="inlineStr">
        <is>
          <t>Checked Date</t>
        </is>
      </c>
    </row>
    <row r="3">
      <c r="A3" s="5" t="n">
        <v>1</v>
      </c>
      <c r="B3" s="5" t="inlineStr">
        <is>
          <t>HA440</t>
        </is>
      </c>
      <c r="C3" s="6" t="inlineStr">
        <is>
          <t>FACIAL MASK - CAKE</t>
        </is>
      </c>
      <c r="D3" s="5" t="n">
        <v>1</v>
      </c>
      <c r="E3" s="6" t="inlineStr">
        <is>
          <t>WATER</t>
        </is>
      </c>
      <c r="F3" s="6" t="inlineStr">
        <is>
          <t>7732-18-5</t>
        </is>
      </c>
      <c r="G3" s="7" t="n">
        <v>90.605</v>
      </c>
      <c r="H3" s="6" t="inlineStr">
        <is>
          <t>FACIAL MASK - CAKE</t>
        </is>
      </c>
      <c r="I3" s="21">
        <f>E3</f>
        <v/>
      </c>
      <c r="J3" s="21">
        <f>F3</f>
        <v/>
      </c>
      <c r="K3" s="21" t="n"/>
      <c r="L3" s="22" t="n"/>
      <c r="M3" s="21" t="n"/>
      <c r="N3" s="23" t="n"/>
      <c r="O3" s="23" t="n"/>
      <c r="P3" s="23" t="n"/>
      <c r="Q3" s="23" t="n"/>
      <c r="R3" s="23" t="n"/>
      <c r="S3" s="24" t="n"/>
      <c r="T3" s="24" t="n"/>
      <c r="U3" s="24" t="n"/>
      <c r="V3" s="24" t="n"/>
      <c r="W3" s="24" t="n"/>
      <c r="X3" s="24" t="n"/>
      <c r="Y3" s="24" t="n"/>
      <c r="Z3" s="6" t="n"/>
      <c r="AA3" s="6" t="n"/>
      <c r="AB3" s="6" t="n"/>
      <c r="AC3" s="6" t="n"/>
      <c r="AD3" s="6" t="n"/>
      <c r="AE3" s="23" t="n"/>
      <c r="AF3" s="23" t="n"/>
      <c r="AG3" s="23" t="n"/>
      <c r="AH3" s="25">
        <f>IF(OR(N3="Y",AE3="Y"),"Y","N")</f>
        <v/>
      </c>
      <c r="AI3" s="25">
        <f>IF(AH3="Y","Prohibited hit in CA/CFR",IF(S3="Y","Restricted - assess body site / max conc. / warning",IF(Z3="Y","No prohibition/restriction hit; CIR reference found","No hit in loaded 4 databases")))</f>
        <v/>
      </c>
      <c r="AJ3" s="25">
        <f>IF(AH3="Y","Reformulate / reject / escalate",IF(S3="Y","Manual compliance assessment required","Keep as reference / no restriction found in current databases"))</f>
        <v/>
      </c>
      <c r="AK3" s="25" t="n"/>
      <c r="AL3" s="25" t="n"/>
      <c r="AM3" s="25" t="n"/>
      <c r="AN3" s="26" t="n"/>
    </row>
    <row r="4">
      <c r="A4" s="5" t="n">
        <v>2</v>
      </c>
      <c r="B4" s="5" t="inlineStr">
        <is>
          <t>HA440</t>
        </is>
      </c>
      <c r="C4" s="6" t="inlineStr">
        <is>
          <t>FACIAL MASK - CAKE</t>
        </is>
      </c>
      <c r="D4" s="5" t="n">
        <v>2</v>
      </c>
      <c r="E4" s="6" t="inlineStr">
        <is>
          <t>PROPYLENE GLYCOL</t>
        </is>
      </c>
      <c r="F4" s="6" t="inlineStr">
        <is>
          <t>57-55-6</t>
        </is>
      </c>
      <c r="G4" s="7" t="n">
        <v>4.348</v>
      </c>
      <c r="H4" s="6" t="inlineStr">
        <is>
          <t>FACIAL MASK - CAKE</t>
        </is>
      </c>
      <c r="I4" s="21">
        <f>E4</f>
        <v/>
      </c>
      <c r="J4" s="21">
        <f>F4</f>
        <v/>
      </c>
      <c r="K4" s="21" t="n"/>
      <c r="L4" s="22" t="n"/>
      <c r="M4" s="21" t="n"/>
      <c r="N4" s="23" t="n"/>
      <c r="O4" s="23" t="n"/>
      <c r="P4" s="23" t="n"/>
      <c r="Q4" s="23" t="n"/>
      <c r="R4" s="23" t="n"/>
      <c r="S4" s="24" t="n"/>
      <c r="T4" s="24" t="n"/>
      <c r="U4" s="24" t="n"/>
      <c r="V4" s="24" t="n"/>
      <c r="W4" s="24" t="n"/>
      <c r="X4" s="24" t="n"/>
      <c r="Y4" s="24" t="n"/>
      <c r="Z4" s="6" t="n"/>
      <c r="AA4" s="6" t="n"/>
      <c r="AB4" s="6" t="n"/>
      <c r="AC4" s="6" t="n"/>
      <c r="AD4" s="6" t="n"/>
      <c r="AE4" s="23" t="n"/>
      <c r="AF4" s="23" t="n"/>
      <c r="AG4" s="23" t="n"/>
      <c r="AH4" s="25">
        <f>IF(OR(N4="Y",AE4="Y"),"Y","N")</f>
        <v/>
      </c>
      <c r="AI4" s="25">
        <f>IF(AH4="Y","Prohibited hit in CA/CFR",IF(S4="Y","Restricted - assess body site / max conc. / warning",IF(Z4="Y","No prohibition/restriction hit; CIR reference found","No hit in loaded 4 databases")))</f>
        <v/>
      </c>
      <c r="AJ4" s="25">
        <f>IF(AH4="Y","Reformulate / reject / escalate",IF(S4="Y","Manual compliance assessment required","Keep as reference / no restriction found in current databases"))</f>
        <v/>
      </c>
      <c r="AK4" s="25" t="n"/>
      <c r="AL4" s="25" t="n"/>
      <c r="AM4" s="25" t="n"/>
      <c r="AN4" s="26" t="n"/>
    </row>
    <row r="5">
      <c r="A5" s="5" t="n">
        <v>3</v>
      </c>
      <c r="B5" s="5" t="inlineStr">
        <is>
          <t>HA440</t>
        </is>
      </c>
      <c r="C5" s="6" t="inlineStr">
        <is>
          <t>FACIAL MASK - CAKE</t>
        </is>
      </c>
      <c r="D5" s="5" t="n">
        <v>3</v>
      </c>
      <c r="E5" s="6" t="inlineStr">
        <is>
          <t>GLYCERIN</t>
        </is>
      </c>
      <c r="F5" s="6" t="inlineStr">
        <is>
          <t>56-81-5</t>
        </is>
      </c>
      <c r="G5" s="7" t="n">
        <v>4</v>
      </c>
      <c r="H5" s="6" t="inlineStr">
        <is>
          <t>FACIAL MASK - CAKE</t>
        </is>
      </c>
      <c r="I5" s="21">
        <f>E5</f>
        <v/>
      </c>
      <c r="J5" s="21">
        <f>F5</f>
        <v/>
      </c>
      <c r="K5" s="21" t="n"/>
      <c r="L5" s="22" t="n"/>
      <c r="M5" s="21" t="n"/>
      <c r="N5" s="23" t="n"/>
      <c r="O5" s="23" t="n"/>
      <c r="P5" s="23" t="n"/>
      <c r="Q5" s="23" t="n"/>
      <c r="R5" s="23" t="n"/>
      <c r="S5" s="24" t="n"/>
      <c r="T5" s="24" t="n"/>
      <c r="U5" s="24" t="n"/>
      <c r="V5" s="24" t="n"/>
      <c r="W5" s="24" t="n"/>
      <c r="X5" s="24" t="n"/>
      <c r="Y5" s="24" t="n"/>
      <c r="Z5" s="6" t="n"/>
      <c r="AA5" s="6" t="n"/>
      <c r="AB5" s="6" t="n"/>
      <c r="AC5" s="6" t="n"/>
      <c r="AD5" s="6" t="n"/>
      <c r="AE5" s="23" t="n"/>
      <c r="AF5" s="23" t="n"/>
      <c r="AG5" s="23" t="n"/>
      <c r="AH5" s="25">
        <f>IF(OR(N5="Y",AE5="Y"),"Y","N")</f>
        <v/>
      </c>
      <c r="AI5" s="25">
        <f>IF(AH5="Y","Prohibited hit in CA/CFR",IF(S5="Y","Restricted - assess body site / max conc. / warning",IF(Z5="Y","No prohibition/restriction hit; CIR reference found","No hit in loaded 4 databases")))</f>
        <v/>
      </c>
      <c r="AJ5" s="25">
        <f>IF(AH5="Y","Reformulate / reject / escalate",IF(S5="Y","Manual compliance assessment required","Keep as reference / no restriction found in current databases"))</f>
        <v/>
      </c>
      <c r="AK5" s="25" t="n"/>
      <c r="AL5" s="25" t="n"/>
      <c r="AM5" s="25" t="n"/>
      <c r="AN5" s="26" t="n"/>
    </row>
    <row r="6">
      <c r="A6" s="5" t="n">
        <v>4</v>
      </c>
      <c r="B6" s="5" t="inlineStr">
        <is>
          <t>HA440</t>
        </is>
      </c>
      <c r="C6" s="6" t="inlineStr">
        <is>
          <t>FACIAL MASK - CAKE</t>
        </is>
      </c>
      <c r="D6" s="5" t="n">
        <v>4</v>
      </c>
      <c r="E6" s="6" t="inlineStr">
        <is>
          <t>HYDROXYACETOPHENONE</t>
        </is>
      </c>
      <c r="F6" s="6" t="inlineStr">
        <is>
          <t>99-93-4</t>
        </is>
      </c>
      <c r="G6" s="7" t="n">
        <v>0.4</v>
      </c>
      <c r="H6" s="6" t="inlineStr">
        <is>
          <t>FACIAL MASK - CAKE</t>
        </is>
      </c>
      <c r="I6" s="21">
        <f>E6</f>
        <v/>
      </c>
      <c r="J6" s="21">
        <f>F6</f>
        <v/>
      </c>
      <c r="K6" s="21" t="n"/>
      <c r="L6" s="22" t="n"/>
      <c r="M6" s="21" t="n"/>
      <c r="N6" s="23" t="n"/>
      <c r="O6" s="23" t="n"/>
      <c r="P6" s="23" t="n"/>
      <c r="Q6" s="23" t="n"/>
      <c r="R6" s="23" t="n"/>
      <c r="S6" s="24" t="n"/>
      <c r="T6" s="24" t="n"/>
      <c r="U6" s="24" t="n"/>
      <c r="V6" s="24" t="n"/>
      <c r="W6" s="24" t="n"/>
      <c r="X6" s="24" t="n"/>
      <c r="Y6" s="24" t="n"/>
      <c r="Z6" s="6" t="n"/>
      <c r="AA6" s="6" t="n"/>
      <c r="AB6" s="6" t="n"/>
      <c r="AC6" s="6" t="n"/>
      <c r="AD6" s="6" t="n"/>
      <c r="AE6" s="23" t="n"/>
      <c r="AF6" s="23" t="n"/>
      <c r="AG6" s="23" t="n"/>
      <c r="AH6" s="25">
        <f>IF(OR(N6="Y",AE6="Y"),"Y","N")</f>
        <v/>
      </c>
      <c r="AI6" s="25">
        <f>IF(AH6="Y","Prohibited hit in CA/CFR",IF(S6="Y","Restricted - assess body site / max conc. / warning",IF(Z6="Y","No prohibition/restriction hit; CIR reference found","No hit in loaded 4 databases")))</f>
        <v/>
      </c>
      <c r="AJ6" s="25">
        <f>IF(AH6="Y","Reformulate / reject / escalate",IF(S6="Y","Manual compliance assessment required","Keep as reference / no restriction found in current databases"))</f>
        <v/>
      </c>
      <c r="AK6" s="25" t="n"/>
      <c r="AL6" s="25" t="n"/>
      <c r="AM6" s="25" t="n"/>
      <c r="AN6" s="26" t="n"/>
    </row>
    <row r="7">
      <c r="A7" s="5" t="n">
        <v>5</v>
      </c>
      <c r="B7" s="5" t="inlineStr">
        <is>
          <t>HA440</t>
        </is>
      </c>
      <c r="C7" s="6" t="inlineStr">
        <is>
          <t>FACIAL MASK - CAKE</t>
        </is>
      </c>
      <c r="D7" s="5" t="n">
        <v>5</v>
      </c>
      <c r="E7" s="6" t="inlineStr">
        <is>
          <t>ALLANTOIN</t>
        </is>
      </c>
      <c r="F7" s="6" t="inlineStr">
        <is>
          <t>97-59-6</t>
        </is>
      </c>
      <c r="G7" s="7" t="n">
        <v>0.2</v>
      </c>
      <c r="H7" s="6" t="inlineStr">
        <is>
          <t>FACIAL MASK - CAKE</t>
        </is>
      </c>
      <c r="I7" s="21">
        <f>E7</f>
        <v/>
      </c>
      <c r="J7" s="21">
        <f>F7</f>
        <v/>
      </c>
      <c r="K7" s="21" t="n"/>
      <c r="L7" s="22" t="n"/>
      <c r="M7" s="21" t="n"/>
      <c r="N7" s="23" t="n"/>
      <c r="O7" s="23" t="n"/>
      <c r="P7" s="23" t="n"/>
      <c r="Q7" s="23" t="n"/>
      <c r="R7" s="23" t="n"/>
      <c r="S7" s="24" t="n"/>
      <c r="T7" s="24" t="n"/>
      <c r="U7" s="24" t="n"/>
      <c r="V7" s="24" t="n"/>
      <c r="W7" s="24" t="n"/>
      <c r="X7" s="24" t="n"/>
      <c r="Y7" s="24" t="n"/>
      <c r="Z7" s="6" t="n"/>
      <c r="AA7" s="6" t="n"/>
      <c r="AB7" s="6" t="n"/>
      <c r="AC7" s="6" t="n"/>
      <c r="AD7" s="6" t="n"/>
      <c r="AE7" s="23" t="n"/>
      <c r="AF7" s="23" t="n"/>
      <c r="AG7" s="23" t="n"/>
      <c r="AH7" s="25">
        <f>IF(OR(N7="Y",AE7="Y"),"Y","N")</f>
        <v/>
      </c>
      <c r="AI7" s="25">
        <f>IF(AH7="Y","Prohibited hit in CA/CFR",IF(S7="Y","Restricted - assess body site / max conc. / warning",IF(Z7="Y","No prohibition/restriction hit; CIR reference found","No hit in loaded 4 databases")))</f>
        <v/>
      </c>
      <c r="AJ7" s="25">
        <f>IF(AH7="Y","Reformulate / reject / escalate",IF(S7="Y","Manual compliance assessment required","Keep as reference / no restriction found in current databases"))</f>
        <v/>
      </c>
      <c r="AK7" s="25" t="n"/>
      <c r="AL7" s="25" t="n"/>
      <c r="AM7" s="25" t="n"/>
      <c r="AN7" s="26" t="n"/>
    </row>
    <row r="8">
      <c r="A8" s="5" t="n">
        <v>6</v>
      </c>
      <c r="B8" s="5" t="inlineStr">
        <is>
          <t>HA440</t>
        </is>
      </c>
      <c r="C8" s="6" t="inlineStr">
        <is>
          <t>FACIAL MASK - CAKE</t>
        </is>
      </c>
      <c r="D8" s="5" t="n">
        <v>6</v>
      </c>
      <c r="E8" s="6" t="inlineStr">
        <is>
          <t>HYDROXYETHYLCELLULOSE</t>
        </is>
      </c>
      <c r="F8" s="6" t="inlineStr">
        <is>
          <t>9004-62-0</t>
        </is>
      </c>
      <c r="G8" s="7" t="n">
        <v>0.1978</v>
      </c>
      <c r="H8" s="6" t="inlineStr">
        <is>
          <t>FACIAL MASK - CAKE</t>
        </is>
      </c>
      <c r="I8" s="21">
        <f>E8</f>
        <v/>
      </c>
      <c r="J8" s="21">
        <f>F8</f>
        <v/>
      </c>
      <c r="K8" s="21" t="n"/>
      <c r="L8" s="22" t="n"/>
      <c r="M8" s="21" t="n"/>
      <c r="N8" s="23" t="n"/>
      <c r="O8" s="23" t="n"/>
      <c r="P8" s="23" t="n"/>
      <c r="Q8" s="23" t="n"/>
      <c r="R8" s="23" t="n"/>
      <c r="S8" s="24" t="n"/>
      <c r="T8" s="24" t="n"/>
      <c r="U8" s="24" t="n"/>
      <c r="V8" s="24" t="n"/>
      <c r="W8" s="24" t="n"/>
      <c r="X8" s="24" t="n"/>
      <c r="Y8" s="24" t="n"/>
      <c r="Z8" s="6" t="n"/>
      <c r="AA8" s="6" t="n"/>
      <c r="AB8" s="6" t="n"/>
      <c r="AC8" s="6" t="n"/>
      <c r="AD8" s="6" t="n"/>
      <c r="AE8" s="23" t="n"/>
      <c r="AF8" s="23" t="n"/>
      <c r="AG8" s="23" t="n"/>
      <c r="AH8" s="25">
        <f>IF(OR(N8="Y",AE8="Y"),"Y","N")</f>
        <v/>
      </c>
      <c r="AI8" s="25">
        <f>IF(AH8="Y","Prohibited hit in CA/CFR",IF(S8="Y","Restricted - assess body site / max conc. / warning",IF(Z8="Y","No prohibition/restriction hit; CIR reference found","No hit in loaded 4 databases")))</f>
        <v/>
      </c>
      <c r="AJ8" s="25">
        <f>IF(AH8="Y","Reformulate / reject / escalate",IF(S8="Y","Manual compliance assessment required","Keep as reference / no restriction found in current databases"))</f>
        <v/>
      </c>
      <c r="AK8" s="25" t="n"/>
      <c r="AL8" s="25" t="n"/>
      <c r="AM8" s="25" t="n"/>
      <c r="AN8" s="26" t="n"/>
    </row>
    <row r="9">
      <c r="A9" s="5" t="n">
        <v>7</v>
      </c>
      <c r="B9" s="5" t="inlineStr">
        <is>
          <t>HA440</t>
        </is>
      </c>
      <c r="C9" s="6" t="inlineStr">
        <is>
          <t>FACIAL MASK - CAKE</t>
        </is>
      </c>
      <c r="D9" s="5" t="n">
        <v>7</v>
      </c>
      <c r="E9" s="6" t="inlineStr">
        <is>
          <t>CARBOMER</t>
        </is>
      </c>
      <c r="F9" s="6" t="inlineStr">
        <is>
          <t>9007-20-9</t>
        </is>
      </c>
      <c r="G9" s="7" t="n">
        <v>0.08</v>
      </c>
      <c r="H9" s="6" t="inlineStr">
        <is>
          <t>FACIAL MASK - CAKE</t>
        </is>
      </c>
      <c r="I9" s="21">
        <f>E9</f>
        <v/>
      </c>
      <c r="J9" s="21">
        <f>F9</f>
        <v/>
      </c>
      <c r="K9" s="21" t="n"/>
      <c r="L9" s="22" t="n"/>
      <c r="M9" s="21" t="n"/>
      <c r="N9" s="23" t="n"/>
      <c r="O9" s="23" t="n"/>
      <c r="P9" s="23" t="n"/>
      <c r="Q9" s="23" t="n"/>
      <c r="R9" s="23" t="n"/>
      <c r="S9" s="24" t="n"/>
      <c r="T9" s="24" t="n"/>
      <c r="U9" s="24" t="n"/>
      <c r="V9" s="24" t="n"/>
      <c r="W9" s="24" t="n"/>
      <c r="X9" s="24" t="n"/>
      <c r="Y9" s="24" t="n"/>
      <c r="Z9" s="6" t="n"/>
      <c r="AA9" s="6" t="n"/>
      <c r="AB9" s="6" t="n"/>
      <c r="AC9" s="6" t="n"/>
      <c r="AD9" s="6" t="n"/>
      <c r="AE9" s="23" t="n"/>
      <c r="AF9" s="23" t="n"/>
      <c r="AG9" s="23" t="n"/>
      <c r="AH9" s="25">
        <f>IF(OR(N9="Y",AE9="Y"),"Y","N")</f>
        <v/>
      </c>
      <c r="AI9" s="25">
        <f>IF(AH9="Y","Prohibited hit in CA/CFR",IF(S9="Y","Restricted - assess body site / max conc. / warning",IF(Z9="Y","No prohibition/restriction hit; CIR reference found","No hit in loaded 4 databases")))</f>
        <v/>
      </c>
      <c r="AJ9" s="25">
        <f>IF(AH9="Y","Reformulate / reject / escalate",IF(S9="Y","Manual compliance assessment required","Keep as reference / no restriction found in current databases"))</f>
        <v/>
      </c>
      <c r="AK9" s="25" t="n"/>
      <c r="AL9" s="25" t="n"/>
      <c r="AM9" s="25" t="n"/>
      <c r="AN9" s="26" t="n"/>
    </row>
    <row r="10">
      <c r="A10" s="5" t="n">
        <v>8</v>
      </c>
      <c r="B10" s="5" t="inlineStr">
        <is>
          <t>HA440</t>
        </is>
      </c>
      <c r="C10" s="6" t="inlineStr">
        <is>
          <t>FACIAL MASK - CAKE</t>
        </is>
      </c>
      <c r="D10" s="5" t="n">
        <v>8</v>
      </c>
      <c r="E10" s="6" t="inlineStr">
        <is>
          <t>TRIETHANOLAMINE</t>
        </is>
      </c>
      <c r="F10" s="6" t="inlineStr">
        <is>
          <t>102-71-6</t>
        </is>
      </c>
      <c r="G10" s="7" t="n">
        <v>0.08</v>
      </c>
      <c r="H10" s="6" t="inlineStr">
        <is>
          <t>FACIAL MASK - CAKE</t>
        </is>
      </c>
      <c r="I10" s="21">
        <f>E10</f>
        <v/>
      </c>
      <c r="J10" s="21">
        <f>F10</f>
        <v/>
      </c>
      <c r="K10" s="21" t="n"/>
      <c r="L10" s="22" t="n"/>
      <c r="M10" s="21" t="n"/>
      <c r="N10" s="23" t="n"/>
      <c r="O10" s="23" t="n"/>
      <c r="P10" s="23" t="n"/>
      <c r="Q10" s="23" t="n"/>
      <c r="R10" s="23" t="n"/>
      <c r="S10" s="24" t="n"/>
      <c r="T10" s="24" t="n"/>
      <c r="U10" s="24" t="n"/>
      <c r="V10" s="24" t="n"/>
      <c r="W10" s="24" t="n"/>
      <c r="X10" s="24" t="n"/>
      <c r="Y10" s="24" t="n"/>
      <c r="Z10" s="6" t="n"/>
      <c r="AA10" s="6" t="n"/>
      <c r="AB10" s="6" t="n"/>
      <c r="AC10" s="6" t="n"/>
      <c r="AD10" s="6" t="n"/>
      <c r="AE10" s="23" t="n"/>
      <c r="AF10" s="23" t="n"/>
      <c r="AG10" s="23" t="n"/>
      <c r="AH10" s="25">
        <f>IF(OR(N10="Y",AE10="Y"),"Y","N")</f>
        <v/>
      </c>
      <c r="AI10" s="25">
        <f>IF(AH10="Y","Prohibited hit in CA/CFR",IF(S10="Y","Restricted - assess body site / max conc. / warning",IF(Z10="Y","No prohibition/restriction hit; CIR reference found","No hit in loaded 4 databases")))</f>
        <v/>
      </c>
      <c r="AJ10" s="25">
        <f>IF(AH10="Y","Reformulate / reject / escalate",IF(S10="Y","Manual compliance assessment required","Keep as reference / no restriction found in current databases"))</f>
        <v/>
      </c>
      <c r="AK10" s="25" t="n"/>
      <c r="AL10" s="25" t="n"/>
      <c r="AM10" s="25" t="n"/>
      <c r="AN10" s="26" t="n"/>
    </row>
    <row r="11">
      <c r="A11" s="5" t="n">
        <v>9</v>
      </c>
      <c r="B11" s="5" t="inlineStr">
        <is>
          <t>HA440</t>
        </is>
      </c>
      <c r="C11" s="6" t="inlineStr">
        <is>
          <t>FACIAL MASK - CAKE</t>
        </is>
      </c>
      <c r="D11" s="5" t="n">
        <v>9</v>
      </c>
      <c r="E11" s="6" t="inlineStr">
        <is>
          <t>CAPRYLHYDROXAMIC ACID</t>
        </is>
      </c>
      <c r="F11" s="6" t="n"/>
      <c r="G11" s="7" t="n">
        <v>0.048</v>
      </c>
      <c r="H11" s="6" t="inlineStr">
        <is>
          <t>FACIAL MASK - CAKE</t>
        </is>
      </c>
      <c r="I11" s="21">
        <f>E11</f>
        <v/>
      </c>
      <c r="J11" s="21">
        <f>F11</f>
        <v/>
      </c>
      <c r="K11" s="21" t="n"/>
      <c r="L11" s="22" t="n"/>
      <c r="M11" s="21" t="n"/>
      <c r="N11" s="23" t="n"/>
      <c r="O11" s="23" t="n"/>
      <c r="P11" s="23" t="n"/>
      <c r="Q11" s="23" t="n"/>
      <c r="R11" s="23" t="n"/>
      <c r="S11" s="24" t="n"/>
      <c r="T11" s="24" t="n"/>
      <c r="U11" s="24" t="n"/>
      <c r="V11" s="24" t="n"/>
      <c r="W11" s="24" t="n"/>
      <c r="X11" s="24" t="n"/>
      <c r="Y11" s="24" t="n"/>
      <c r="Z11" s="6" t="n"/>
      <c r="AA11" s="6" t="n"/>
      <c r="AB11" s="6" t="n"/>
      <c r="AC11" s="6" t="n"/>
      <c r="AD11" s="6" t="n"/>
      <c r="AE11" s="23" t="n"/>
      <c r="AF11" s="23" t="n"/>
      <c r="AG11" s="23" t="n"/>
      <c r="AH11" s="25">
        <f>IF(OR(N11="Y",AE11="Y"),"Y","N")</f>
        <v/>
      </c>
      <c r="AI11" s="25">
        <f>IF(AH11="Y","Prohibited hit in CA/CFR",IF(S11="Y","Restricted - assess body site / max conc. / warning",IF(Z11="Y","No prohibition/restriction hit; CIR reference found","No hit in loaded 4 databases")))</f>
        <v/>
      </c>
      <c r="AJ11" s="25">
        <f>IF(AH11="Y","Reformulate / reject / escalate",IF(S11="Y","Manual compliance assessment required","Keep as reference / no restriction found in current databases"))</f>
        <v/>
      </c>
      <c r="AK11" s="25" t="n"/>
      <c r="AL11" s="25" t="n"/>
      <c r="AM11" s="25" t="n"/>
      <c r="AN11" s="26" t="n"/>
    </row>
    <row r="12">
      <c r="A12" s="5" t="n">
        <v>10</v>
      </c>
      <c r="B12" s="5" t="inlineStr">
        <is>
          <t>HA440</t>
        </is>
      </c>
      <c r="C12" s="6" t="inlineStr">
        <is>
          <t>FACIAL MASK - CAKE</t>
        </is>
      </c>
      <c r="D12" s="5" t="n">
        <v>10</v>
      </c>
      <c r="E12" s="6" t="inlineStr">
        <is>
          <t>DISODIUM EDTA</t>
        </is>
      </c>
      <c r="F12" s="6" t="inlineStr">
        <is>
          <t>139-33-3</t>
        </is>
      </c>
      <c r="G12" s="7" t="n">
        <v>0.03</v>
      </c>
      <c r="H12" s="6" t="inlineStr">
        <is>
          <t>FACIAL MASK - CAKE</t>
        </is>
      </c>
      <c r="I12" s="21">
        <f>E12</f>
        <v/>
      </c>
      <c r="J12" s="21">
        <f>F12</f>
        <v/>
      </c>
      <c r="K12" s="21" t="n"/>
      <c r="L12" s="22" t="n"/>
      <c r="M12" s="21" t="n"/>
      <c r="N12" s="23" t="n"/>
      <c r="O12" s="23" t="n"/>
      <c r="P12" s="23" t="n"/>
      <c r="Q12" s="23" t="n"/>
      <c r="R12" s="23" t="n"/>
      <c r="S12" s="24" t="n"/>
      <c r="T12" s="24" t="n"/>
      <c r="U12" s="24" t="n"/>
      <c r="V12" s="24" t="n"/>
      <c r="W12" s="24" t="n"/>
      <c r="X12" s="24" t="n"/>
      <c r="Y12" s="24" t="n"/>
      <c r="Z12" s="6" t="n"/>
      <c r="AA12" s="6" t="n"/>
      <c r="AB12" s="6" t="n"/>
      <c r="AC12" s="6" t="n"/>
      <c r="AD12" s="6" t="n"/>
      <c r="AE12" s="23" t="n"/>
      <c r="AF12" s="23" t="n"/>
      <c r="AG12" s="23" t="n"/>
      <c r="AH12" s="25">
        <f>IF(OR(N12="Y",AE12="Y"),"Y","N")</f>
        <v/>
      </c>
      <c r="AI12" s="25">
        <f>IF(AH12="Y","Prohibited hit in CA/CFR",IF(S12="Y","Restricted - assess body site / max conc. / warning",IF(Z12="Y","No prohibition/restriction hit; CIR reference found","No hit in loaded 4 databases")))</f>
        <v/>
      </c>
      <c r="AJ12" s="25">
        <f>IF(AH12="Y","Reformulate / reject / escalate",IF(S12="Y","Manual compliance assessment required","Keep as reference / no restriction found in current databases"))</f>
        <v/>
      </c>
      <c r="AK12" s="25" t="n"/>
      <c r="AL12" s="25" t="n"/>
      <c r="AM12" s="25" t="n"/>
      <c r="AN12" s="26" t="n"/>
    </row>
    <row r="13">
      <c r="A13" s="5" t="n">
        <v>11</v>
      </c>
      <c r="B13" s="5" t="inlineStr">
        <is>
          <t>HA440</t>
        </is>
      </c>
      <c r="C13" s="6" t="inlineStr">
        <is>
          <t>FACIAL MASK - CAKE</t>
        </is>
      </c>
      <c r="D13" s="5" t="n">
        <v>11</v>
      </c>
      <c r="E13" s="6" t="inlineStr">
        <is>
          <t>GLYCERYL CAPRYLATE</t>
        </is>
      </c>
      <c r="F13" s="6" t="inlineStr">
        <is>
          <t>26402-26-6</t>
        </is>
      </c>
      <c r="G13" s="7" t="n">
        <v>0.004</v>
      </c>
      <c r="H13" s="6" t="inlineStr">
        <is>
          <t>FACIAL MASK - CAKE</t>
        </is>
      </c>
      <c r="I13" s="21">
        <f>E13</f>
        <v/>
      </c>
      <c r="J13" s="21">
        <f>F13</f>
        <v/>
      </c>
      <c r="K13" s="21" t="n"/>
      <c r="L13" s="22" t="n"/>
      <c r="M13" s="21" t="n"/>
      <c r="N13" s="23" t="n"/>
      <c r="O13" s="23" t="n"/>
      <c r="P13" s="23" t="n"/>
      <c r="Q13" s="23" t="n"/>
      <c r="R13" s="23" t="n"/>
      <c r="S13" s="24" t="n"/>
      <c r="T13" s="24" t="n"/>
      <c r="U13" s="24" t="n"/>
      <c r="V13" s="24" t="n"/>
      <c r="W13" s="24" t="n"/>
      <c r="X13" s="24" t="n"/>
      <c r="Y13" s="24" t="n"/>
      <c r="Z13" s="6" t="n"/>
      <c r="AA13" s="6" t="n"/>
      <c r="AB13" s="6" t="n"/>
      <c r="AC13" s="6" t="n"/>
      <c r="AD13" s="6" t="n"/>
      <c r="AE13" s="23" t="n"/>
      <c r="AF13" s="23" t="n"/>
      <c r="AG13" s="23" t="n"/>
      <c r="AH13" s="25">
        <f>IF(OR(N13="Y",AE13="Y"),"Y","N")</f>
        <v/>
      </c>
      <c r="AI13" s="25">
        <f>IF(AH13="Y","Prohibited hit in CA/CFR",IF(S13="Y","Restricted - assess body site / max conc. / warning",IF(Z13="Y","No prohibition/restriction hit; CIR reference found","No hit in loaded 4 databases")))</f>
        <v/>
      </c>
      <c r="AJ13" s="25">
        <f>IF(AH13="Y","Reformulate / reject / escalate",IF(S13="Y","Manual compliance assessment required","Keep as reference / no restriction found in current databases"))</f>
        <v/>
      </c>
      <c r="AK13" s="25" t="n"/>
      <c r="AL13" s="25" t="n"/>
      <c r="AM13" s="25" t="n"/>
      <c r="AN13" s="26" t="n"/>
    </row>
    <row r="14">
      <c r="A14" s="5" t="n">
        <v>12</v>
      </c>
      <c r="B14" s="5" t="inlineStr">
        <is>
          <t>HA440</t>
        </is>
      </c>
      <c r="C14" s="6" t="inlineStr">
        <is>
          <t>FACIAL MASK - CAKE</t>
        </is>
      </c>
      <c r="D14" s="5" t="n">
        <v>12</v>
      </c>
      <c r="E14" s="6" t="inlineStr">
        <is>
          <t>PEG-40 HYDROGENATED CASTOR OIL</t>
        </is>
      </c>
      <c r="F14" s="6" t="inlineStr">
        <is>
          <t>61788-85-0</t>
        </is>
      </c>
      <c r="G14" s="7" t="n">
        <v>0.0036</v>
      </c>
      <c r="H14" s="6" t="inlineStr">
        <is>
          <t>FACIAL MASK - CAKE</t>
        </is>
      </c>
      <c r="I14" s="21">
        <f>E14</f>
        <v/>
      </c>
      <c r="J14" s="21">
        <f>F14</f>
        <v/>
      </c>
      <c r="K14" s="21" t="n"/>
      <c r="L14" s="22" t="n"/>
      <c r="M14" s="21" t="n"/>
      <c r="N14" s="23" t="n"/>
      <c r="O14" s="23" t="n"/>
      <c r="P14" s="23" t="n"/>
      <c r="Q14" s="23" t="n"/>
      <c r="R14" s="23" t="n"/>
      <c r="S14" s="24" t="n"/>
      <c r="T14" s="24" t="n"/>
      <c r="U14" s="24" t="n"/>
      <c r="V14" s="24" t="n"/>
      <c r="W14" s="24" t="n"/>
      <c r="X14" s="24" t="n"/>
      <c r="Y14" s="24" t="n"/>
      <c r="Z14" s="6" t="n"/>
      <c r="AA14" s="6" t="n"/>
      <c r="AB14" s="6" t="n"/>
      <c r="AC14" s="6" t="n"/>
      <c r="AD14" s="6" t="n"/>
      <c r="AE14" s="23" t="n"/>
      <c r="AF14" s="23" t="n"/>
      <c r="AG14" s="23" t="n"/>
      <c r="AH14" s="25">
        <f>IF(OR(N14="Y",AE14="Y"),"Y","N")</f>
        <v/>
      </c>
      <c r="AI14" s="25">
        <f>IF(AH14="Y","Prohibited hit in CA/CFR",IF(S14="Y","Restricted - assess body site / max conc. / warning",IF(Z14="Y","No prohibition/restriction hit; CIR reference found","No hit in loaded 4 databases")))</f>
        <v/>
      </c>
      <c r="AJ14" s="25">
        <f>IF(AH14="Y","Reformulate / reject / escalate",IF(S14="Y","Manual compliance assessment required","Keep as reference / no restriction found in current databases"))</f>
        <v/>
      </c>
      <c r="AK14" s="25" t="n"/>
      <c r="AL14" s="25" t="n"/>
      <c r="AM14" s="25" t="n"/>
      <c r="AN14" s="26" t="n"/>
    </row>
    <row r="15">
      <c r="A15" s="5" t="n">
        <v>13</v>
      </c>
      <c r="B15" s="5" t="inlineStr">
        <is>
          <t>HA440</t>
        </is>
      </c>
      <c r="C15" s="6" t="inlineStr">
        <is>
          <t>FACIAL MASK - CAKE</t>
        </is>
      </c>
      <c r="D15" s="5" t="n">
        <v>13</v>
      </c>
      <c r="E15" s="6" t="inlineStr">
        <is>
          <t>FRAGRANCE</t>
        </is>
      </c>
      <c r="F15" s="6" t="n"/>
      <c r="G15" s="7" t="n">
        <v>0.001</v>
      </c>
      <c r="H15" s="6" t="inlineStr">
        <is>
          <t>FACIAL MASK - CAKE</t>
        </is>
      </c>
      <c r="I15" s="21">
        <f>E15</f>
        <v/>
      </c>
      <c r="J15" s="21">
        <f>F15</f>
        <v/>
      </c>
      <c r="K15" s="21" t="n"/>
      <c r="L15" s="22" t="n"/>
      <c r="M15" s="21" t="n"/>
      <c r="N15" s="23" t="n"/>
      <c r="O15" s="23" t="n"/>
      <c r="P15" s="23" t="n"/>
      <c r="Q15" s="23" t="n"/>
      <c r="R15" s="23" t="n"/>
      <c r="S15" s="24" t="n"/>
      <c r="T15" s="24" t="n"/>
      <c r="U15" s="24" t="n"/>
      <c r="V15" s="24" t="n"/>
      <c r="W15" s="24" t="n"/>
      <c r="X15" s="24" t="n"/>
      <c r="Y15" s="24" t="n"/>
      <c r="Z15" s="6" t="n"/>
      <c r="AA15" s="6" t="n"/>
      <c r="AB15" s="6" t="n"/>
      <c r="AC15" s="6" t="n"/>
      <c r="AD15" s="6" t="n"/>
      <c r="AE15" s="23" t="n"/>
      <c r="AF15" s="23" t="n"/>
      <c r="AG15" s="23" t="n"/>
      <c r="AH15" s="25">
        <f>IF(OR(N15="Y",AE15="Y"),"Y","N")</f>
        <v/>
      </c>
      <c r="AI15" s="25">
        <f>IF(AH15="Y","Prohibited hit in CA/CFR",IF(S15="Y","Restricted - assess body site / max conc. / warning",IF(Z15="Y","No prohibition/restriction hit; CIR reference found","No hit in loaded 4 databases")))</f>
        <v/>
      </c>
      <c r="AJ15" s="25">
        <f>IF(AH15="Y","Reformulate / reject / escalate",IF(S15="Y","Manual compliance assessment required","Keep as reference / no restriction found in current databases"))</f>
        <v/>
      </c>
      <c r="AK15" s="25" t="n"/>
      <c r="AL15" s="25" t="n"/>
      <c r="AM15" s="25" t="n"/>
      <c r="AN15" s="26" t="n"/>
    </row>
    <row r="16">
      <c r="A16" s="5" t="n">
        <v>14</v>
      </c>
      <c r="B16" s="5" t="inlineStr">
        <is>
          <t>HA440</t>
        </is>
      </c>
      <c r="C16" s="6" t="inlineStr">
        <is>
          <t>FACIAL MASK - CAKE</t>
        </is>
      </c>
      <c r="D16" s="5" t="n">
        <v>14</v>
      </c>
      <c r="E16" s="6" t="inlineStr">
        <is>
          <t>POLYSORBATE 60</t>
        </is>
      </c>
      <c r="F16" s="6" t="inlineStr">
        <is>
          <t>9005-67-8</t>
        </is>
      </c>
      <c r="G16" s="7" t="n">
        <v>0.001</v>
      </c>
      <c r="H16" s="6" t="inlineStr">
        <is>
          <t>FACIAL MASK - CAKE</t>
        </is>
      </c>
      <c r="I16" s="21">
        <f>E16</f>
        <v/>
      </c>
      <c r="J16" s="21">
        <f>F16</f>
        <v/>
      </c>
      <c r="K16" s="21" t="n"/>
      <c r="L16" s="22" t="n"/>
      <c r="M16" s="21" t="n"/>
      <c r="N16" s="23" t="n"/>
      <c r="O16" s="23" t="n"/>
      <c r="P16" s="23" t="n"/>
      <c r="Q16" s="23" t="n"/>
      <c r="R16" s="23" t="n"/>
      <c r="S16" s="24" t="n"/>
      <c r="T16" s="24" t="n"/>
      <c r="U16" s="24" t="n"/>
      <c r="V16" s="24" t="n"/>
      <c r="W16" s="24" t="n"/>
      <c r="X16" s="24" t="n"/>
      <c r="Y16" s="24" t="n"/>
      <c r="Z16" s="6" t="n"/>
      <c r="AA16" s="6" t="n"/>
      <c r="AB16" s="6" t="n"/>
      <c r="AC16" s="6" t="n"/>
      <c r="AD16" s="6" t="n"/>
      <c r="AE16" s="23" t="n"/>
      <c r="AF16" s="23" t="n"/>
      <c r="AG16" s="23" t="n"/>
      <c r="AH16" s="25">
        <f>IF(OR(N16="Y",AE16="Y"),"Y","N")</f>
        <v/>
      </c>
      <c r="AI16" s="25">
        <f>IF(AH16="Y","Prohibited hit in CA/CFR",IF(S16="Y","Restricted - assess body site / max conc. / warning",IF(Z16="Y","No prohibition/restriction hit; CIR reference found","No hit in loaded 4 databases")))</f>
        <v/>
      </c>
      <c r="AJ16" s="25">
        <f>IF(AH16="Y","Reformulate / reject / escalate",IF(S16="Y","Manual compliance assessment required","Keep as reference / no restriction found in current databases"))</f>
        <v/>
      </c>
      <c r="AK16" s="25" t="n"/>
      <c r="AL16" s="25" t="n"/>
      <c r="AM16" s="25" t="n"/>
      <c r="AN16" s="26" t="n"/>
    </row>
    <row r="17">
      <c r="A17" s="5" t="n">
        <v>15</v>
      </c>
      <c r="B17" s="5" t="inlineStr">
        <is>
          <t>HA440</t>
        </is>
      </c>
      <c r="C17" s="6" t="inlineStr">
        <is>
          <t>FACIAL MASK - CAKE</t>
        </is>
      </c>
      <c r="D17" s="5" t="n">
        <v>15</v>
      </c>
      <c r="E17" s="6" t="inlineStr">
        <is>
          <t>DISODIUM PHOSPHATE</t>
        </is>
      </c>
      <c r="F17" s="6" t="inlineStr">
        <is>
          <t>7558-79-4</t>
        </is>
      </c>
      <c r="G17" s="7" t="n">
        <v>0.001</v>
      </c>
      <c r="H17" s="6" t="inlineStr">
        <is>
          <t>FACIAL MASK - CAKE</t>
        </is>
      </c>
      <c r="I17" s="21">
        <f>E17</f>
        <v/>
      </c>
      <c r="J17" s="21">
        <f>F17</f>
        <v/>
      </c>
      <c r="K17" s="21" t="n"/>
      <c r="L17" s="22" t="n"/>
      <c r="M17" s="21" t="n"/>
      <c r="N17" s="23" t="n"/>
      <c r="O17" s="23" t="n"/>
      <c r="P17" s="23" t="n"/>
      <c r="Q17" s="23" t="n"/>
      <c r="R17" s="23" t="n"/>
      <c r="S17" s="24" t="n"/>
      <c r="T17" s="24" t="n"/>
      <c r="U17" s="24" t="n"/>
      <c r="V17" s="24" t="n"/>
      <c r="W17" s="24" t="n"/>
      <c r="X17" s="24" t="n"/>
      <c r="Y17" s="24" t="n"/>
      <c r="Z17" s="6" t="n"/>
      <c r="AA17" s="6" t="n"/>
      <c r="AB17" s="6" t="n"/>
      <c r="AC17" s="6" t="n"/>
      <c r="AD17" s="6" t="n"/>
      <c r="AE17" s="23" t="n"/>
      <c r="AF17" s="23" t="n"/>
      <c r="AG17" s="23" t="n"/>
      <c r="AH17" s="25">
        <f>IF(OR(N17="Y",AE17="Y"),"Y","N")</f>
        <v/>
      </c>
      <c r="AI17" s="25">
        <f>IF(AH17="Y","Prohibited hit in CA/CFR",IF(S17="Y","Restricted - assess body site / max conc. / warning",IF(Z17="Y","No prohibition/restriction hit; CIR reference found","No hit in loaded 4 databases")))</f>
        <v/>
      </c>
      <c r="AJ17" s="25">
        <f>IF(AH17="Y","Reformulate / reject / escalate",IF(S17="Y","Manual compliance assessment required","Keep as reference / no restriction found in current databases"))</f>
        <v/>
      </c>
      <c r="AK17" s="25" t="n"/>
      <c r="AL17" s="25" t="n"/>
      <c r="AM17" s="25" t="n"/>
      <c r="AN17" s="26" t="n"/>
    </row>
    <row r="18">
      <c r="A18" s="5" t="n">
        <v>16</v>
      </c>
      <c r="B18" s="5" t="inlineStr">
        <is>
          <t>HA440</t>
        </is>
      </c>
      <c r="C18" s="6" t="inlineStr">
        <is>
          <t>FACIAL MASK - CAKE</t>
        </is>
      </c>
      <c r="D18" s="5" t="n">
        <v>16</v>
      </c>
      <c r="E18" s="6" t="inlineStr">
        <is>
          <t>PEG-10</t>
        </is>
      </c>
      <c r="F18" s="6" t="inlineStr">
        <is>
          <t>5579-66-8/25322-68-3</t>
        </is>
      </c>
      <c r="G18" s="7" t="n">
        <v>0.0004</v>
      </c>
      <c r="H18" s="6" t="inlineStr">
        <is>
          <t>FACIAL MASK - CAKE</t>
        </is>
      </c>
      <c r="I18" s="21">
        <f>E18</f>
        <v/>
      </c>
      <c r="J18" s="21">
        <f>F18</f>
        <v/>
      </c>
      <c r="K18" s="21" t="n"/>
      <c r="L18" s="22" t="n"/>
      <c r="M18" s="21" t="n"/>
      <c r="N18" s="23" t="n"/>
      <c r="O18" s="23" t="n"/>
      <c r="P18" s="23" t="n"/>
      <c r="Q18" s="23" t="n"/>
      <c r="R18" s="23" t="n"/>
      <c r="S18" s="24" t="n"/>
      <c r="T18" s="24" t="n"/>
      <c r="U18" s="24" t="n"/>
      <c r="V18" s="24" t="n"/>
      <c r="W18" s="24" t="n"/>
      <c r="X18" s="24" t="n"/>
      <c r="Y18" s="24" t="n"/>
      <c r="Z18" s="6" t="n"/>
      <c r="AA18" s="6" t="n"/>
      <c r="AB18" s="6" t="n"/>
      <c r="AC18" s="6" t="n"/>
      <c r="AD18" s="6" t="n"/>
      <c r="AE18" s="23" t="n"/>
      <c r="AF18" s="23" t="n"/>
      <c r="AG18" s="23" t="n"/>
      <c r="AH18" s="25">
        <f>IF(OR(N18="Y",AE18="Y"),"Y","N")</f>
        <v/>
      </c>
      <c r="AI18" s="25">
        <f>IF(AH18="Y","Prohibited hit in CA/CFR",IF(S18="Y","Restricted - assess body site / max conc. / warning",IF(Z18="Y","No prohibition/restriction hit; CIR reference found","No hit in loaded 4 databases")))</f>
        <v/>
      </c>
      <c r="AJ18" s="25">
        <f>IF(AH18="Y","Reformulate / reject / escalate",IF(S18="Y","Manual compliance assessment required","Keep as reference / no restriction found in current databases"))</f>
        <v/>
      </c>
      <c r="AK18" s="25" t="n"/>
      <c r="AL18" s="25" t="n"/>
      <c r="AM18" s="25" t="n"/>
      <c r="AN18" s="26" t="n"/>
    </row>
    <row r="19">
      <c r="A19" s="5" t="n">
        <v>17</v>
      </c>
      <c r="B19" s="5" t="inlineStr">
        <is>
          <t>HA440</t>
        </is>
      </c>
      <c r="C19" s="6" t="inlineStr">
        <is>
          <t>FACIAL MASK - CAKE</t>
        </is>
      </c>
      <c r="D19" s="5" t="n">
        <v>17</v>
      </c>
      <c r="E19" s="6" t="inlineStr">
        <is>
          <t>SODIUM PHOSPHATE</t>
        </is>
      </c>
      <c r="F19" s="6" t="inlineStr">
        <is>
          <t>7558-80-7</t>
        </is>
      </c>
      <c r="G19" s="7" t="n">
        <v>0.0002</v>
      </c>
      <c r="H19" s="6" t="inlineStr">
        <is>
          <t>FACIAL MASK - CAKE</t>
        </is>
      </c>
      <c r="I19" s="21">
        <f>E19</f>
        <v/>
      </c>
      <c r="J19" s="21">
        <f>F19</f>
        <v/>
      </c>
      <c r="K19" s="21" t="n"/>
      <c r="L19" s="22" t="n"/>
      <c r="M19" s="21" t="n"/>
      <c r="N19" s="23" t="n"/>
      <c r="O19" s="23" t="n"/>
      <c r="P19" s="23" t="n"/>
      <c r="Q19" s="23" t="n"/>
      <c r="R19" s="23" t="n"/>
      <c r="S19" s="24" t="n"/>
      <c r="T19" s="24" t="n"/>
      <c r="U19" s="24" t="n"/>
      <c r="V19" s="24" t="n"/>
      <c r="W19" s="24" t="n"/>
      <c r="X19" s="24" t="n"/>
      <c r="Y19" s="24" t="n"/>
      <c r="Z19" s="6" t="n"/>
      <c r="AA19" s="6" t="n"/>
      <c r="AB19" s="6" t="n"/>
      <c r="AC19" s="6" t="n"/>
      <c r="AD19" s="6" t="n"/>
      <c r="AE19" s="23" t="n"/>
      <c r="AF19" s="23" t="n"/>
      <c r="AG19" s="23" t="n"/>
      <c r="AH19" s="25">
        <f>IF(OR(N19="Y",AE19="Y"),"Y","N")</f>
        <v/>
      </c>
      <c r="AI19" s="25">
        <f>IF(AH19="Y","Prohibited hit in CA/CFR",IF(S19="Y","Restricted - assess body site / max conc. / warning",IF(Z19="Y","No prohibition/restriction hit; CIR reference found","No hit in loaded 4 databases")))</f>
        <v/>
      </c>
      <c r="AJ19" s="25">
        <f>IF(AH19="Y","Reformulate / reject / escalate",IF(S19="Y","Manual compliance assessment required","Keep as reference / no restriction found in current databases"))</f>
        <v/>
      </c>
      <c r="AK19" s="25" t="n"/>
      <c r="AL19" s="25" t="n"/>
      <c r="AM19" s="25" t="n"/>
      <c r="AN19" s="26" t="n"/>
    </row>
    <row r="20">
      <c r="A20" s="5" t="n">
        <v>18</v>
      </c>
      <c r="B20" s="5" t="inlineStr">
        <is>
          <t>SAH155</t>
        </is>
      </c>
      <c r="C20" s="6" t="inlineStr">
        <is>
          <t>SAH155 - PEACH</t>
        </is>
      </c>
      <c r="D20" s="5" t="n">
        <v>1</v>
      </c>
      <c r="E20" s="6" t="inlineStr">
        <is>
          <t>WATER</t>
        </is>
      </c>
      <c r="F20" s="6" t="inlineStr">
        <is>
          <t>7732-18-5</t>
        </is>
      </c>
      <c r="G20" s="7" t="n">
        <v>91.34</v>
      </c>
      <c r="H20" s="6" t="inlineStr">
        <is>
          <t>HAND CREAM</t>
        </is>
      </c>
      <c r="I20" s="21">
        <f>E20</f>
        <v/>
      </c>
      <c r="J20" s="21">
        <f>F20</f>
        <v/>
      </c>
      <c r="K20" s="21" t="n"/>
      <c r="L20" s="22" t="n"/>
      <c r="M20" s="21" t="n"/>
      <c r="N20" s="23" t="n"/>
      <c r="O20" s="23" t="n"/>
      <c r="P20" s="23" t="n"/>
      <c r="Q20" s="23" t="n"/>
      <c r="R20" s="23" t="n"/>
      <c r="S20" s="24" t="n"/>
      <c r="T20" s="24" t="n"/>
      <c r="U20" s="24" t="n"/>
      <c r="V20" s="24" t="n"/>
      <c r="W20" s="24" t="n"/>
      <c r="X20" s="24" t="n"/>
      <c r="Y20" s="24" t="n"/>
      <c r="Z20" s="6" t="n"/>
      <c r="AA20" s="6" t="n"/>
      <c r="AB20" s="6" t="n"/>
      <c r="AC20" s="6" t="n"/>
      <c r="AD20" s="6" t="n"/>
      <c r="AE20" s="23" t="n"/>
      <c r="AF20" s="23" t="n"/>
      <c r="AG20" s="23" t="n"/>
      <c r="AH20" s="25">
        <f>IF(OR(N20="Y",AE20="Y"),"Y","N")</f>
        <v/>
      </c>
      <c r="AI20" s="25">
        <f>IF(AH20="Y","Prohibited hit in CA/CFR",IF(S20="Y","Restricted - assess body site / max conc. / warning",IF(Z20="Y","No prohibition/restriction hit; CIR reference found","No hit in loaded 4 databases")))</f>
        <v/>
      </c>
      <c r="AJ20" s="25">
        <f>IF(AH20="Y","Reformulate / reject / escalate",IF(S20="Y","Manual compliance assessment required","Keep as reference / no restriction found in current databases"))</f>
        <v/>
      </c>
      <c r="AK20" s="25" t="n"/>
      <c r="AL20" s="25" t="n"/>
      <c r="AM20" s="25" t="n"/>
      <c r="AN20" s="26" t="n"/>
    </row>
    <row r="21">
      <c r="A21" s="5" t="n">
        <v>19</v>
      </c>
      <c r="B21" s="5" t="inlineStr">
        <is>
          <t>SAH155</t>
        </is>
      </c>
      <c r="C21" s="6" t="inlineStr">
        <is>
          <t>SAH155 - PEACH</t>
        </is>
      </c>
      <c r="D21" s="5" t="n">
        <v>2</v>
      </c>
      <c r="E21" s="6" t="inlineStr">
        <is>
          <t>MINERAL OIL</t>
        </is>
      </c>
      <c r="F21" s="6" t="inlineStr">
        <is>
          <t>8012-95-1;8020-83-5;8042-47-5</t>
        </is>
      </c>
      <c r="G21" s="7" t="n">
        <v>3</v>
      </c>
      <c r="H21" s="6" t="inlineStr">
        <is>
          <t>HAND CREAM</t>
        </is>
      </c>
      <c r="I21" s="21">
        <f>E21</f>
        <v/>
      </c>
      <c r="J21" s="21">
        <f>F21</f>
        <v/>
      </c>
      <c r="K21" s="21" t="n"/>
      <c r="L21" s="22" t="n"/>
      <c r="M21" s="21" t="n"/>
      <c r="N21" s="23" t="n"/>
      <c r="O21" s="23" t="n"/>
      <c r="P21" s="23" t="n"/>
      <c r="Q21" s="23" t="n"/>
      <c r="R21" s="23" t="n"/>
      <c r="S21" s="24" t="n"/>
      <c r="T21" s="24" t="n"/>
      <c r="U21" s="24" t="n"/>
      <c r="V21" s="24" t="n"/>
      <c r="W21" s="24" t="n"/>
      <c r="X21" s="24" t="n"/>
      <c r="Y21" s="24" t="n"/>
      <c r="Z21" s="6" t="n"/>
      <c r="AA21" s="6" t="n"/>
      <c r="AB21" s="6" t="n"/>
      <c r="AC21" s="6" t="n"/>
      <c r="AD21" s="6" t="n"/>
      <c r="AE21" s="23" t="n"/>
      <c r="AF21" s="23" t="n"/>
      <c r="AG21" s="23" t="n"/>
      <c r="AH21" s="25">
        <f>IF(OR(N21="Y",AE21="Y"),"Y","N")</f>
        <v/>
      </c>
      <c r="AI21" s="25">
        <f>IF(AH21="Y","Prohibited hit in CA/CFR",IF(S21="Y","Restricted - assess body site / max conc. / warning",IF(Z21="Y","No prohibition/restriction hit; CIR reference found","No hit in loaded 4 databases")))</f>
        <v/>
      </c>
      <c r="AJ21" s="25">
        <f>IF(AH21="Y","Reformulate / reject / escalate",IF(S21="Y","Manual compliance assessment required","Keep as reference / no restriction found in current databases"))</f>
        <v/>
      </c>
      <c r="AK21" s="25" t="n"/>
      <c r="AL21" s="25" t="n"/>
      <c r="AM21" s="25" t="n"/>
      <c r="AN21" s="26" t="n"/>
    </row>
    <row r="22">
      <c r="A22" s="5" t="n">
        <v>20</v>
      </c>
      <c r="B22" s="5" t="inlineStr">
        <is>
          <t>SAH155</t>
        </is>
      </c>
      <c r="C22" s="6" t="inlineStr">
        <is>
          <t>SAH155 - PEACH</t>
        </is>
      </c>
      <c r="D22" s="5" t="n">
        <v>3</v>
      </c>
      <c r="E22" s="6" t="inlineStr">
        <is>
          <t>PETROLATUM</t>
        </is>
      </c>
      <c r="F22" s="6" t="inlineStr">
        <is>
          <t>8009-03-8</t>
        </is>
      </c>
      <c r="G22" s="7" t="n">
        <v>2</v>
      </c>
      <c r="H22" s="6" t="inlineStr">
        <is>
          <t>HAND CREAM</t>
        </is>
      </c>
      <c r="I22" s="21">
        <f>E22</f>
        <v/>
      </c>
      <c r="J22" s="21">
        <f>F22</f>
        <v/>
      </c>
      <c r="K22" s="21" t="n"/>
      <c r="L22" s="22" t="n"/>
      <c r="M22" s="21" t="n"/>
      <c r="N22" s="23" t="n"/>
      <c r="O22" s="23" t="n"/>
      <c r="P22" s="23" t="n"/>
      <c r="Q22" s="23" t="n"/>
      <c r="R22" s="23" t="n"/>
      <c r="S22" s="24" t="n"/>
      <c r="T22" s="24" t="n"/>
      <c r="U22" s="24" t="n"/>
      <c r="V22" s="24" t="n"/>
      <c r="W22" s="24" t="n"/>
      <c r="X22" s="24" t="n"/>
      <c r="Y22" s="24" t="n"/>
      <c r="Z22" s="6" t="n"/>
      <c r="AA22" s="6" t="n"/>
      <c r="AB22" s="6" t="n"/>
      <c r="AC22" s="6" t="n"/>
      <c r="AD22" s="6" t="n"/>
      <c r="AE22" s="23" t="n"/>
      <c r="AF22" s="23" t="n"/>
      <c r="AG22" s="23" t="n"/>
      <c r="AH22" s="25">
        <f>IF(OR(N22="Y",AE22="Y"),"Y","N")</f>
        <v/>
      </c>
      <c r="AI22" s="25">
        <f>IF(AH22="Y","Prohibited hit in CA/CFR",IF(S22="Y","Restricted - assess body site / max conc. / warning",IF(Z22="Y","No prohibition/restriction hit; CIR reference found","No hit in loaded 4 databases")))</f>
        <v/>
      </c>
      <c r="AJ22" s="25">
        <f>IF(AH22="Y","Reformulate / reject / escalate",IF(S22="Y","Manual compliance assessment required","Keep as reference / no restriction found in current databases"))</f>
        <v/>
      </c>
      <c r="AK22" s="25" t="n"/>
      <c r="AL22" s="25" t="n"/>
      <c r="AM22" s="25" t="n"/>
      <c r="AN22" s="26" t="n"/>
    </row>
    <row r="23">
      <c r="A23" s="5" t="n">
        <v>21</v>
      </c>
      <c r="B23" s="5" t="inlineStr">
        <is>
          <t>SAH155</t>
        </is>
      </c>
      <c r="C23" s="6" t="inlineStr">
        <is>
          <t>SAH155 - PEACH</t>
        </is>
      </c>
      <c r="D23" s="5" t="n">
        <v>4</v>
      </c>
      <c r="E23" s="6" t="inlineStr">
        <is>
          <t>CETEARYL ALCOHOL</t>
        </is>
      </c>
      <c r="F23" s="6" t="inlineStr">
        <is>
          <t>8005-44-5;67762-27-0</t>
        </is>
      </c>
      <c r="G23" s="7" t="n">
        <v>1.2</v>
      </c>
      <c r="H23" s="6" t="inlineStr">
        <is>
          <t>HAND CREAM</t>
        </is>
      </c>
      <c r="I23" s="21">
        <f>E23</f>
        <v/>
      </c>
      <c r="J23" s="21">
        <f>F23</f>
        <v/>
      </c>
      <c r="K23" s="21" t="n"/>
      <c r="L23" s="22" t="n"/>
      <c r="M23" s="21" t="n"/>
      <c r="N23" s="23" t="n"/>
      <c r="O23" s="23" t="n"/>
      <c r="P23" s="23" t="n"/>
      <c r="Q23" s="23" t="n"/>
      <c r="R23" s="23" t="n"/>
      <c r="S23" s="24" t="n"/>
      <c r="T23" s="24" t="n"/>
      <c r="U23" s="24" t="n"/>
      <c r="V23" s="24" t="n"/>
      <c r="W23" s="24" t="n"/>
      <c r="X23" s="24" t="n"/>
      <c r="Y23" s="24" t="n"/>
      <c r="Z23" s="6" t="n"/>
      <c r="AA23" s="6" t="n"/>
      <c r="AB23" s="6" t="n"/>
      <c r="AC23" s="6" t="n"/>
      <c r="AD23" s="6" t="n"/>
      <c r="AE23" s="23" t="n"/>
      <c r="AF23" s="23" t="n"/>
      <c r="AG23" s="23" t="n"/>
      <c r="AH23" s="25">
        <f>IF(OR(N23="Y",AE23="Y"),"Y","N")</f>
        <v/>
      </c>
      <c r="AI23" s="25">
        <f>IF(AH23="Y","Prohibited hit in CA/CFR",IF(S23="Y","Restricted - assess body site / max conc. / warning",IF(Z23="Y","No prohibition/restriction hit; CIR reference found","No hit in loaded 4 databases")))</f>
        <v/>
      </c>
      <c r="AJ23" s="25">
        <f>IF(AH23="Y","Reformulate / reject / escalate",IF(S23="Y","Manual compliance assessment required","Keep as reference / no restriction found in current databases"))</f>
        <v/>
      </c>
      <c r="AK23" s="25" t="n"/>
      <c r="AL23" s="25" t="n"/>
      <c r="AM23" s="25" t="n"/>
      <c r="AN23" s="26" t="n"/>
    </row>
    <row r="24">
      <c r="A24" s="5" t="n">
        <v>22</v>
      </c>
      <c r="B24" s="5" t="inlineStr">
        <is>
          <t>SAH155</t>
        </is>
      </c>
      <c r="C24" s="6" t="inlineStr">
        <is>
          <t>SAH155 - PEACH</t>
        </is>
      </c>
      <c r="D24" s="5" t="n">
        <v>5</v>
      </c>
      <c r="E24" s="6" t="inlineStr">
        <is>
          <t>ACRYLATES COPOLYMER</t>
        </is>
      </c>
      <c r="F24" s="6" t="inlineStr">
        <is>
          <t>25035-69-2;25212-88-8;25685-29-4;159666-35-0</t>
        </is>
      </c>
      <c r="G24" s="7" t="n">
        <v>1.2</v>
      </c>
      <c r="H24" s="6" t="inlineStr">
        <is>
          <t>HAND CREAM</t>
        </is>
      </c>
      <c r="I24" s="21">
        <f>E24</f>
        <v/>
      </c>
      <c r="J24" s="21">
        <f>F24</f>
        <v/>
      </c>
      <c r="K24" s="21" t="n"/>
      <c r="L24" s="22" t="n"/>
      <c r="M24" s="21" t="n"/>
      <c r="N24" s="23" t="n"/>
      <c r="O24" s="23" t="n"/>
      <c r="P24" s="23" t="n"/>
      <c r="Q24" s="23" t="n"/>
      <c r="R24" s="23" t="n"/>
      <c r="S24" s="24" t="n"/>
      <c r="T24" s="24" t="n"/>
      <c r="U24" s="24" t="n"/>
      <c r="V24" s="24" t="n"/>
      <c r="W24" s="24" t="n"/>
      <c r="X24" s="24" t="n"/>
      <c r="Y24" s="24" t="n"/>
      <c r="Z24" s="6" t="n"/>
      <c r="AA24" s="6" t="n"/>
      <c r="AB24" s="6" t="n"/>
      <c r="AC24" s="6" t="n"/>
      <c r="AD24" s="6" t="n"/>
      <c r="AE24" s="23" t="n"/>
      <c r="AF24" s="23" t="n"/>
      <c r="AG24" s="23" t="n"/>
      <c r="AH24" s="25">
        <f>IF(OR(N24="Y",AE24="Y"),"Y","N")</f>
        <v/>
      </c>
      <c r="AI24" s="25">
        <f>IF(AH24="Y","Prohibited hit in CA/CFR",IF(S24="Y","Restricted - assess body site / max conc. / warning",IF(Z24="Y","No prohibition/restriction hit; CIR reference found","No hit in loaded 4 databases")))</f>
        <v/>
      </c>
      <c r="AJ24" s="25">
        <f>IF(AH24="Y","Reformulate / reject / escalate",IF(S24="Y","Manual compliance assessment required","Keep as reference / no restriction found in current databases"))</f>
        <v/>
      </c>
      <c r="AK24" s="25" t="n"/>
      <c r="AL24" s="25" t="n"/>
      <c r="AM24" s="25" t="n"/>
      <c r="AN24" s="26" t="n"/>
    </row>
    <row r="25">
      <c r="A25" s="5" t="n">
        <v>23</v>
      </c>
      <c r="B25" s="5" t="inlineStr">
        <is>
          <t>SAH155</t>
        </is>
      </c>
      <c r="C25" s="6" t="inlineStr">
        <is>
          <t>SAH155 - PEACH</t>
        </is>
      </c>
      <c r="D25" s="5" t="n">
        <v>6</v>
      </c>
      <c r="E25" s="6" t="inlineStr">
        <is>
          <t>DIMETHICONE</t>
        </is>
      </c>
      <c r="F25" s="6" t="inlineStr">
        <is>
          <t>63148-62-9</t>
        </is>
      </c>
      <c r="G25" s="7" t="n">
        <v>0.5</v>
      </c>
      <c r="H25" s="6" t="inlineStr">
        <is>
          <t>HAND CREAM</t>
        </is>
      </c>
      <c r="I25" s="21">
        <f>E25</f>
        <v/>
      </c>
      <c r="J25" s="21">
        <f>F25</f>
        <v/>
      </c>
      <c r="K25" s="21" t="n"/>
      <c r="L25" s="22" t="n"/>
      <c r="M25" s="21" t="n"/>
      <c r="N25" s="23" t="n"/>
      <c r="O25" s="23" t="n"/>
      <c r="P25" s="23" t="n"/>
      <c r="Q25" s="23" t="n"/>
      <c r="R25" s="23" t="n"/>
      <c r="S25" s="24" t="n"/>
      <c r="T25" s="24" t="n"/>
      <c r="U25" s="24" t="n"/>
      <c r="V25" s="24" t="n"/>
      <c r="W25" s="24" t="n"/>
      <c r="X25" s="24" t="n"/>
      <c r="Y25" s="24" t="n"/>
      <c r="Z25" s="6" t="n"/>
      <c r="AA25" s="6" t="n"/>
      <c r="AB25" s="6" t="n"/>
      <c r="AC25" s="6" t="n"/>
      <c r="AD25" s="6" t="n"/>
      <c r="AE25" s="23" t="n"/>
      <c r="AF25" s="23" t="n"/>
      <c r="AG25" s="23" t="n"/>
      <c r="AH25" s="25">
        <f>IF(OR(N25="Y",AE25="Y"),"Y","N")</f>
        <v/>
      </c>
      <c r="AI25" s="25">
        <f>IF(AH25="Y","Prohibited hit in CA/CFR",IF(S25="Y","Restricted - assess body site / max conc. / warning",IF(Z25="Y","No prohibition/restriction hit; CIR reference found","No hit in loaded 4 databases")))</f>
        <v/>
      </c>
      <c r="AJ25" s="25">
        <f>IF(AH25="Y","Reformulate / reject / escalate",IF(S25="Y","Manual compliance assessment required","Keep as reference / no restriction found in current databases"))</f>
        <v/>
      </c>
      <c r="AK25" s="25" t="n"/>
      <c r="AL25" s="25" t="n"/>
      <c r="AM25" s="25" t="n"/>
      <c r="AN25" s="26" t="n"/>
    </row>
    <row r="26">
      <c r="A26" s="5" t="n">
        <v>24</v>
      </c>
      <c r="B26" s="5" t="inlineStr">
        <is>
          <t>SAH155</t>
        </is>
      </c>
      <c r="C26" s="6" t="inlineStr">
        <is>
          <t>SAH155 - PEACH</t>
        </is>
      </c>
      <c r="D26" s="5" t="n">
        <v>7</v>
      </c>
      <c r="E26" s="6" t="inlineStr">
        <is>
          <t>DIAZOLIDINYL UREA</t>
        </is>
      </c>
      <c r="F26" s="6" t="inlineStr">
        <is>
          <t>78491-02-8</t>
        </is>
      </c>
      <c r="G26" s="7" t="n">
        <v>0.2</v>
      </c>
      <c r="H26" s="6" t="inlineStr">
        <is>
          <t>HAND CREAM</t>
        </is>
      </c>
      <c r="I26" s="21">
        <f>E26</f>
        <v/>
      </c>
      <c r="J26" s="21">
        <f>F26</f>
        <v/>
      </c>
      <c r="K26" s="21" t="n"/>
      <c r="L26" s="22" t="n"/>
      <c r="M26" s="21" t="n"/>
      <c r="N26" s="23" t="n"/>
      <c r="O26" s="23" t="n"/>
      <c r="P26" s="23" t="n"/>
      <c r="Q26" s="23" t="n"/>
      <c r="R26" s="23" t="n"/>
      <c r="S26" s="24" t="n"/>
      <c r="T26" s="24" t="n"/>
      <c r="U26" s="24" t="n"/>
      <c r="V26" s="24" t="n"/>
      <c r="W26" s="24" t="n"/>
      <c r="X26" s="24" t="n"/>
      <c r="Y26" s="24" t="n"/>
      <c r="Z26" s="6" t="n"/>
      <c r="AA26" s="6" t="n"/>
      <c r="AB26" s="6" t="n"/>
      <c r="AC26" s="6" t="n"/>
      <c r="AD26" s="6" t="n"/>
      <c r="AE26" s="23" t="n"/>
      <c r="AF26" s="23" t="n"/>
      <c r="AG26" s="23" t="n"/>
      <c r="AH26" s="25">
        <f>IF(OR(N26="Y",AE26="Y"),"Y","N")</f>
        <v/>
      </c>
      <c r="AI26" s="25">
        <f>IF(AH26="Y","Prohibited hit in CA/CFR",IF(S26="Y","Restricted - assess body site / max conc. / warning",IF(Z26="Y","No prohibition/restriction hit; CIR reference found","No hit in loaded 4 databases")))</f>
        <v/>
      </c>
      <c r="AJ26" s="25">
        <f>IF(AH26="Y","Reformulate / reject / escalate",IF(S26="Y","Manual compliance assessment required","Keep as reference / no restriction found in current databases"))</f>
        <v/>
      </c>
      <c r="AK26" s="25" t="n"/>
      <c r="AL26" s="25" t="n"/>
      <c r="AM26" s="25" t="n"/>
      <c r="AN26" s="26" t="n"/>
    </row>
    <row r="27">
      <c r="A27" s="5" t="n">
        <v>25</v>
      </c>
      <c r="B27" s="5" t="inlineStr">
        <is>
          <t>SAH155</t>
        </is>
      </c>
      <c r="C27" s="6" t="inlineStr">
        <is>
          <t>SAH155 - PEACH</t>
        </is>
      </c>
      <c r="D27" s="5" t="n">
        <v>8</v>
      </c>
      <c r="E27" s="6" t="inlineStr">
        <is>
          <t>METHYLPARABEN</t>
        </is>
      </c>
      <c r="F27" s="6" t="inlineStr">
        <is>
          <t>99-76-3</t>
        </is>
      </c>
      <c r="G27" s="7" t="n">
        <v>0.2</v>
      </c>
      <c r="H27" s="6" t="inlineStr">
        <is>
          <t>HAND CREAM</t>
        </is>
      </c>
      <c r="I27" s="21">
        <f>E27</f>
        <v/>
      </c>
      <c r="J27" s="21">
        <f>F27</f>
        <v/>
      </c>
      <c r="K27" s="21" t="n"/>
      <c r="L27" s="22" t="n"/>
      <c r="M27" s="21" t="n"/>
      <c r="N27" s="23" t="n"/>
      <c r="O27" s="23" t="n"/>
      <c r="P27" s="23" t="n"/>
      <c r="Q27" s="23" t="n"/>
      <c r="R27" s="23" t="n"/>
      <c r="S27" s="24" t="n"/>
      <c r="T27" s="24" t="n"/>
      <c r="U27" s="24" t="n"/>
      <c r="V27" s="24" t="n"/>
      <c r="W27" s="24" t="n"/>
      <c r="X27" s="24" t="n"/>
      <c r="Y27" s="24" t="n"/>
      <c r="Z27" s="6" t="n"/>
      <c r="AA27" s="6" t="n"/>
      <c r="AB27" s="6" t="n"/>
      <c r="AC27" s="6" t="n"/>
      <c r="AD27" s="6" t="n"/>
      <c r="AE27" s="23" t="n"/>
      <c r="AF27" s="23" t="n"/>
      <c r="AG27" s="23" t="n"/>
      <c r="AH27" s="25">
        <f>IF(OR(N27="Y",AE27="Y"),"Y","N")</f>
        <v/>
      </c>
      <c r="AI27" s="25">
        <f>IF(AH27="Y","Prohibited hit in CA/CFR",IF(S27="Y","Restricted - assess body site / max conc. / warning",IF(Z27="Y","No prohibition/restriction hit; CIR reference found","No hit in loaded 4 databases")))</f>
        <v/>
      </c>
      <c r="AJ27" s="25">
        <f>IF(AH27="Y","Reformulate / reject / escalate",IF(S27="Y","Manual compliance assessment required","Keep as reference / no restriction found in current databases"))</f>
        <v/>
      </c>
      <c r="AK27" s="25" t="n"/>
      <c r="AL27" s="25" t="n"/>
      <c r="AM27" s="25" t="n"/>
      <c r="AN27" s="26" t="n"/>
    </row>
    <row r="28">
      <c r="A28" s="5" t="n">
        <v>26</v>
      </c>
      <c r="B28" s="5" t="inlineStr">
        <is>
          <t>SAH155</t>
        </is>
      </c>
      <c r="C28" s="6" t="inlineStr">
        <is>
          <t>SAH155 - PEACH</t>
        </is>
      </c>
      <c r="D28" s="5" t="n">
        <v>9</v>
      </c>
      <c r="E28" s="6" t="inlineStr">
        <is>
          <t>FRAGRANCE</t>
        </is>
      </c>
      <c r="F28" s="6" t="n"/>
      <c r="G28" s="7" t="n">
        <v>0.2</v>
      </c>
      <c r="H28" s="6" t="inlineStr">
        <is>
          <t>HAND CREAM</t>
        </is>
      </c>
      <c r="I28" s="21">
        <f>E28</f>
        <v/>
      </c>
      <c r="J28" s="21">
        <f>F28</f>
        <v/>
      </c>
      <c r="K28" s="21" t="n"/>
      <c r="L28" s="22" t="n"/>
      <c r="M28" s="21" t="n"/>
      <c r="N28" s="23" t="n"/>
      <c r="O28" s="23" t="n"/>
      <c r="P28" s="23" t="n"/>
      <c r="Q28" s="23" t="n"/>
      <c r="R28" s="23" t="n"/>
      <c r="S28" s="24" t="n"/>
      <c r="T28" s="24" t="n"/>
      <c r="U28" s="24" t="n"/>
      <c r="V28" s="24" t="n"/>
      <c r="W28" s="24" t="n"/>
      <c r="X28" s="24" t="n"/>
      <c r="Y28" s="24" t="n"/>
      <c r="Z28" s="6" t="n"/>
      <c r="AA28" s="6" t="n"/>
      <c r="AB28" s="6" t="n"/>
      <c r="AC28" s="6" t="n"/>
      <c r="AD28" s="6" t="n"/>
      <c r="AE28" s="23" t="n"/>
      <c r="AF28" s="23" t="n"/>
      <c r="AG28" s="23" t="n"/>
      <c r="AH28" s="25">
        <f>IF(OR(N28="Y",AE28="Y"),"Y","N")</f>
        <v/>
      </c>
      <c r="AI28" s="25">
        <f>IF(AH28="Y","Prohibited hit in CA/CFR",IF(S28="Y","Restricted - assess body site / max conc. / warning",IF(Z28="Y","No prohibition/restriction hit; CIR reference found","No hit in loaded 4 databases")))</f>
        <v/>
      </c>
      <c r="AJ28" s="25">
        <f>IF(AH28="Y","Reformulate / reject / escalate",IF(S28="Y","Manual compliance assessment required","Keep as reference / no restriction found in current databases"))</f>
        <v/>
      </c>
      <c r="AK28" s="25" t="n"/>
      <c r="AL28" s="25" t="n"/>
      <c r="AM28" s="25" t="n"/>
      <c r="AN28" s="26" t="n"/>
    </row>
    <row r="29">
      <c r="A29" s="5" t="n">
        <v>27</v>
      </c>
      <c r="B29" s="5" t="inlineStr">
        <is>
          <t>SAH155</t>
        </is>
      </c>
      <c r="C29" s="6" t="inlineStr">
        <is>
          <t>SAH155 - PEACH</t>
        </is>
      </c>
      <c r="D29" s="5" t="n">
        <v>10</v>
      </c>
      <c r="E29" s="6" t="inlineStr">
        <is>
          <t>PROPYLPARABEN</t>
        </is>
      </c>
      <c r="F29" s="6" t="inlineStr">
        <is>
          <t>94-13-3</t>
        </is>
      </c>
      <c r="G29" s="7" t="n">
        <v>0.1</v>
      </c>
      <c r="H29" s="6" t="inlineStr">
        <is>
          <t>HAND CREAM</t>
        </is>
      </c>
      <c r="I29" s="21">
        <f>E29</f>
        <v/>
      </c>
      <c r="J29" s="21">
        <f>F29</f>
        <v/>
      </c>
      <c r="K29" s="21" t="n"/>
      <c r="L29" s="22" t="n"/>
      <c r="M29" s="21" t="n"/>
      <c r="N29" s="23" t="n"/>
      <c r="O29" s="23" t="n"/>
      <c r="P29" s="23" t="n"/>
      <c r="Q29" s="23" t="n"/>
      <c r="R29" s="23" t="n"/>
      <c r="S29" s="24" t="n"/>
      <c r="T29" s="24" t="n"/>
      <c r="U29" s="24" t="n"/>
      <c r="V29" s="24" t="n"/>
      <c r="W29" s="24" t="n"/>
      <c r="X29" s="24" t="n"/>
      <c r="Y29" s="24" t="n"/>
      <c r="Z29" s="6" t="n"/>
      <c r="AA29" s="6" t="n"/>
      <c r="AB29" s="6" t="n"/>
      <c r="AC29" s="6" t="n"/>
      <c r="AD29" s="6" t="n"/>
      <c r="AE29" s="23" t="n"/>
      <c r="AF29" s="23" t="n"/>
      <c r="AG29" s="23" t="n"/>
      <c r="AH29" s="25">
        <f>IF(OR(N29="Y",AE29="Y"),"Y","N")</f>
        <v/>
      </c>
      <c r="AI29" s="25">
        <f>IF(AH29="Y","Prohibited hit in CA/CFR",IF(S29="Y","Restricted - assess body site / max conc. / warning",IF(Z29="Y","No prohibition/restriction hit; CIR reference found","No hit in loaded 4 databases")))</f>
        <v/>
      </c>
      <c r="AJ29" s="25">
        <f>IF(AH29="Y","Reformulate / reject / escalate",IF(S29="Y","Manual compliance assessment required","Keep as reference / no restriction found in current databases"))</f>
        <v/>
      </c>
      <c r="AK29" s="25" t="n"/>
      <c r="AL29" s="25" t="n"/>
      <c r="AM29" s="25" t="n"/>
      <c r="AN29" s="26" t="n"/>
    </row>
    <row r="30">
      <c r="A30" s="5" t="n">
        <v>28</v>
      </c>
      <c r="B30" s="5" t="inlineStr">
        <is>
          <t>SAH155</t>
        </is>
      </c>
      <c r="C30" s="6" t="inlineStr">
        <is>
          <t>SAH155 - PEACH</t>
        </is>
      </c>
      <c r="D30" s="5" t="n">
        <v>11</v>
      </c>
      <c r="E30" s="6" t="inlineStr">
        <is>
          <t>XANTHAN GUM</t>
        </is>
      </c>
      <c r="F30" s="6" t="inlineStr">
        <is>
          <t>11138-66-2</t>
        </is>
      </c>
      <c r="G30" s="7" t="n">
        <v>0.05</v>
      </c>
      <c r="H30" s="6" t="inlineStr">
        <is>
          <t>HAND CREAM</t>
        </is>
      </c>
      <c r="I30" s="21">
        <f>E30</f>
        <v/>
      </c>
      <c r="J30" s="21">
        <f>F30</f>
        <v/>
      </c>
      <c r="K30" s="21" t="n"/>
      <c r="L30" s="22" t="n"/>
      <c r="M30" s="21" t="n"/>
      <c r="N30" s="23" t="n"/>
      <c r="O30" s="23" t="n"/>
      <c r="P30" s="23" t="n"/>
      <c r="Q30" s="23" t="n"/>
      <c r="R30" s="23" t="n"/>
      <c r="S30" s="24" t="n"/>
      <c r="T30" s="24" t="n"/>
      <c r="U30" s="24" t="n"/>
      <c r="V30" s="24" t="n"/>
      <c r="W30" s="24" t="n"/>
      <c r="X30" s="24" t="n"/>
      <c r="Y30" s="24" t="n"/>
      <c r="Z30" s="6" t="n"/>
      <c r="AA30" s="6" t="n"/>
      <c r="AB30" s="6" t="n"/>
      <c r="AC30" s="6" t="n"/>
      <c r="AD30" s="6" t="n"/>
      <c r="AE30" s="23" t="n"/>
      <c r="AF30" s="23" t="n"/>
      <c r="AG30" s="23" t="n"/>
      <c r="AH30" s="25">
        <f>IF(OR(N30="Y",AE30="Y"),"Y","N")</f>
        <v/>
      </c>
      <c r="AI30" s="25">
        <f>IF(AH30="Y","Prohibited hit in CA/CFR",IF(S30="Y","Restricted - assess body site / max conc. / warning",IF(Z30="Y","No prohibition/restriction hit; CIR reference found","No hit in loaded 4 databases")))</f>
        <v/>
      </c>
      <c r="AJ30" s="25">
        <f>IF(AH30="Y","Reformulate / reject / escalate",IF(S30="Y","Manual compliance assessment required","Keep as reference / no restriction found in current databases"))</f>
        <v/>
      </c>
      <c r="AK30" s="25" t="n"/>
      <c r="AL30" s="25" t="n"/>
      <c r="AM30" s="25" t="n"/>
      <c r="AN30" s="26" t="n"/>
    </row>
    <row r="31">
      <c r="A31" s="5" t="n">
        <v>29</v>
      </c>
      <c r="B31" s="5" t="inlineStr">
        <is>
          <t>SAH155</t>
        </is>
      </c>
      <c r="C31" s="6" t="inlineStr">
        <is>
          <t>SAH155 - PEACH</t>
        </is>
      </c>
      <c r="D31" s="5" t="n">
        <v>12</v>
      </c>
      <c r="E31" s="6" t="inlineStr">
        <is>
          <t>PRUNUS PERSICA (PEACH) FRUIT EXTRACT</t>
        </is>
      </c>
      <c r="F31" s="6" t="inlineStr">
        <is>
          <t>84012-34-0</t>
        </is>
      </c>
      <c r="G31" s="7" t="n">
        <v>0.01</v>
      </c>
      <c r="H31" s="6" t="inlineStr">
        <is>
          <t>HAND CREAM</t>
        </is>
      </c>
      <c r="I31" s="21">
        <f>E31</f>
        <v/>
      </c>
      <c r="J31" s="21">
        <f>F31</f>
        <v/>
      </c>
      <c r="K31" s="21" t="n"/>
      <c r="L31" s="22" t="n"/>
      <c r="M31" s="21" t="n"/>
      <c r="N31" s="23" t="n"/>
      <c r="O31" s="23" t="n"/>
      <c r="P31" s="23" t="n"/>
      <c r="Q31" s="23" t="n"/>
      <c r="R31" s="23" t="n"/>
      <c r="S31" s="24" t="n"/>
      <c r="T31" s="24" t="n"/>
      <c r="U31" s="24" t="n"/>
      <c r="V31" s="24" t="n"/>
      <c r="W31" s="24" t="n"/>
      <c r="X31" s="24" t="n"/>
      <c r="Y31" s="24" t="n"/>
      <c r="Z31" s="6" t="n"/>
      <c r="AA31" s="6" t="n"/>
      <c r="AB31" s="6" t="n"/>
      <c r="AC31" s="6" t="n"/>
      <c r="AD31" s="6" t="n"/>
      <c r="AE31" s="23" t="n"/>
      <c r="AF31" s="23" t="n"/>
      <c r="AG31" s="23" t="n"/>
      <c r="AH31" s="25">
        <f>IF(OR(N31="Y",AE31="Y"),"Y","N")</f>
        <v/>
      </c>
      <c r="AI31" s="25">
        <f>IF(AH31="Y","Prohibited hit in CA/CFR",IF(S31="Y","Restricted - assess body site / max conc. / warning",IF(Z31="Y","No prohibition/restriction hit; CIR reference found","No hit in loaded 4 databases")))</f>
        <v/>
      </c>
      <c r="AJ31" s="25">
        <f>IF(AH31="Y","Reformulate / reject / escalate",IF(S31="Y","Manual compliance assessment required","Keep as reference / no restriction found in current databases"))</f>
        <v/>
      </c>
      <c r="AK31" s="25" t="n"/>
      <c r="AL31" s="25" t="n"/>
      <c r="AM31" s="25" t="n"/>
      <c r="AN31" s="26" t="n"/>
    </row>
    <row r="32">
      <c r="A32" s="5" t="n">
        <v>30</v>
      </c>
      <c r="B32" s="5" t="inlineStr">
        <is>
          <t>SAH157</t>
        </is>
      </c>
      <c r="C32" s="6" t="inlineStr">
        <is>
          <t>SAH157 - VITAMIN C</t>
        </is>
      </c>
      <c r="D32" s="5" t="n">
        <v>1</v>
      </c>
      <c r="E32" s="6" t="inlineStr">
        <is>
          <t>WATER</t>
        </is>
      </c>
      <c r="F32" s="6" t="inlineStr">
        <is>
          <t>7732-18-5</t>
        </is>
      </c>
      <c r="G32" s="7" t="n">
        <v>91.3</v>
      </c>
      <c r="H32" s="6" t="inlineStr">
        <is>
          <t>HAND CREAM</t>
        </is>
      </c>
      <c r="I32" s="21">
        <f>E32</f>
        <v/>
      </c>
      <c r="J32" s="21">
        <f>F32</f>
        <v/>
      </c>
      <c r="K32" s="21" t="n"/>
      <c r="L32" s="22" t="n"/>
      <c r="M32" s="21" t="n"/>
      <c r="N32" s="23" t="n"/>
      <c r="O32" s="23" t="n"/>
      <c r="P32" s="23" t="n"/>
      <c r="Q32" s="23" t="n"/>
      <c r="R32" s="23" t="n"/>
      <c r="S32" s="24" t="n"/>
      <c r="T32" s="24" t="n"/>
      <c r="U32" s="24" t="n"/>
      <c r="V32" s="24" t="n"/>
      <c r="W32" s="24" t="n"/>
      <c r="X32" s="24" t="n"/>
      <c r="Y32" s="24" t="n"/>
      <c r="Z32" s="6" t="n"/>
      <c r="AA32" s="6" t="n"/>
      <c r="AB32" s="6" t="n"/>
      <c r="AC32" s="6" t="n"/>
      <c r="AD32" s="6" t="n"/>
      <c r="AE32" s="23" t="n"/>
      <c r="AF32" s="23" t="n"/>
      <c r="AG32" s="23" t="n"/>
      <c r="AH32" s="25">
        <f>IF(OR(N32="Y",AE32="Y"),"Y","N")</f>
        <v/>
      </c>
      <c r="AI32" s="25">
        <f>IF(AH32="Y","Prohibited hit in CA/CFR",IF(S32="Y","Restricted - assess body site / max conc. / warning",IF(Z32="Y","No prohibition/restriction hit; CIR reference found","No hit in loaded 4 databases")))</f>
        <v/>
      </c>
      <c r="AJ32" s="25">
        <f>IF(AH32="Y","Reformulate / reject / escalate",IF(S32="Y","Manual compliance assessment required","Keep as reference / no restriction found in current databases"))</f>
        <v/>
      </c>
      <c r="AK32" s="25" t="n"/>
      <c r="AL32" s="25" t="n"/>
      <c r="AM32" s="25" t="n"/>
      <c r="AN32" s="26" t="n"/>
    </row>
    <row r="33">
      <c r="A33" s="5" t="n">
        <v>31</v>
      </c>
      <c r="B33" s="5" t="inlineStr">
        <is>
          <t>SAH157</t>
        </is>
      </c>
      <c r="C33" s="6" t="inlineStr">
        <is>
          <t>SAH157 - VITAMIN C</t>
        </is>
      </c>
      <c r="D33" s="5" t="n">
        <v>2</v>
      </c>
      <c r="E33" s="6" t="inlineStr">
        <is>
          <t>MINERAL OIL</t>
        </is>
      </c>
      <c r="F33" s="6" t="inlineStr">
        <is>
          <t>8012-95-1;8020-83-5;8042-47-5</t>
        </is>
      </c>
      <c r="G33" s="7" t="n">
        <v>3</v>
      </c>
      <c r="H33" s="6" t="inlineStr">
        <is>
          <t>HAND CREAM</t>
        </is>
      </c>
      <c r="I33" s="21">
        <f>E33</f>
        <v/>
      </c>
      <c r="J33" s="21">
        <f>F33</f>
        <v/>
      </c>
      <c r="K33" s="21" t="n"/>
      <c r="L33" s="22" t="n"/>
      <c r="M33" s="21" t="n"/>
      <c r="N33" s="23" t="n"/>
      <c r="O33" s="23" t="n"/>
      <c r="P33" s="23" t="n"/>
      <c r="Q33" s="23" t="n"/>
      <c r="R33" s="23" t="n"/>
      <c r="S33" s="24" t="n"/>
      <c r="T33" s="24" t="n"/>
      <c r="U33" s="24" t="n"/>
      <c r="V33" s="24" t="n"/>
      <c r="W33" s="24" t="n"/>
      <c r="X33" s="24" t="n"/>
      <c r="Y33" s="24" t="n"/>
      <c r="Z33" s="6" t="n"/>
      <c r="AA33" s="6" t="n"/>
      <c r="AB33" s="6" t="n"/>
      <c r="AC33" s="6" t="n"/>
      <c r="AD33" s="6" t="n"/>
      <c r="AE33" s="23" t="n"/>
      <c r="AF33" s="23" t="n"/>
      <c r="AG33" s="23" t="n"/>
      <c r="AH33" s="25">
        <f>IF(OR(N33="Y",AE33="Y"),"Y","N")</f>
        <v/>
      </c>
      <c r="AI33" s="25">
        <f>IF(AH33="Y","Prohibited hit in CA/CFR",IF(S33="Y","Restricted - assess body site / max conc. / warning",IF(Z33="Y","No prohibition/restriction hit; CIR reference found","No hit in loaded 4 databases")))</f>
        <v/>
      </c>
      <c r="AJ33" s="25">
        <f>IF(AH33="Y","Reformulate / reject / escalate",IF(S33="Y","Manual compliance assessment required","Keep as reference / no restriction found in current databases"))</f>
        <v/>
      </c>
      <c r="AK33" s="25" t="n"/>
      <c r="AL33" s="25" t="n"/>
      <c r="AM33" s="25" t="n"/>
      <c r="AN33" s="26" t="n"/>
    </row>
    <row r="34">
      <c r="A34" s="5" t="n">
        <v>32</v>
      </c>
      <c r="B34" s="5" t="inlineStr">
        <is>
          <t>SAH157</t>
        </is>
      </c>
      <c r="C34" s="6" t="inlineStr">
        <is>
          <t>SAH157 - VITAMIN C</t>
        </is>
      </c>
      <c r="D34" s="5" t="n">
        <v>3</v>
      </c>
      <c r="E34" s="6" t="inlineStr">
        <is>
          <t>PETROLATUM</t>
        </is>
      </c>
      <c r="F34" s="6" t="inlineStr">
        <is>
          <t>8009-03-8</t>
        </is>
      </c>
      <c r="G34" s="7" t="n">
        <v>2</v>
      </c>
      <c r="H34" s="6" t="inlineStr">
        <is>
          <t>HAND CREAM</t>
        </is>
      </c>
      <c r="I34" s="21">
        <f>E34</f>
        <v/>
      </c>
      <c r="J34" s="21">
        <f>F34</f>
        <v/>
      </c>
      <c r="K34" s="21" t="n"/>
      <c r="L34" s="22" t="n"/>
      <c r="M34" s="21" t="n"/>
      <c r="N34" s="23" t="n"/>
      <c r="O34" s="23" t="n"/>
      <c r="P34" s="23" t="n"/>
      <c r="Q34" s="23" t="n"/>
      <c r="R34" s="23" t="n"/>
      <c r="S34" s="24" t="n"/>
      <c r="T34" s="24" t="n"/>
      <c r="U34" s="24" t="n"/>
      <c r="V34" s="24" t="n"/>
      <c r="W34" s="24" t="n"/>
      <c r="X34" s="24" t="n"/>
      <c r="Y34" s="24" t="n"/>
      <c r="Z34" s="6" t="n"/>
      <c r="AA34" s="6" t="n"/>
      <c r="AB34" s="6" t="n"/>
      <c r="AC34" s="6" t="n"/>
      <c r="AD34" s="6" t="n"/>
      <c r="AE34" s="23" t="n"/>
      <c r="AF34" s="23" t="n"/>
      <c r="AG34" s="23" t="n"/>
      <c r="AH34" s="25">
        <f>IF(OR(N34="Y",AE34="Y"),"Y","N")</f>
        <v/>
      </c>
      <c r="AI34" s="25">
        <f>IF(AH34="Y","Prohibited hit in CA/CFR",IF(S34="Y","Restricted - assess body site / max conc. / warning",IF(Z34="Y","No prohibition/restriction hit; CIR reference found","No hit in loaded 4 databases")))</f>
        <v/>
      </c>
      <c r="AJ34" s="25">
        <f>IF(AH34="Y","Reformulate / reject / escalate",IF(S34="Y","Manual compliance assessment required","Keep as reference / no restriction found in current databases"))</f>
        <v/>
      </c>
      <c r="AK34" s="25" t="n"/>
      <c r="AL34" s="25" t="n"/>
      <c r="AM34" s="25" t="n"/>
      <c r="AN34" s="26" t="n"/>
    </row>
    <row r="35">
      <c r="A35" s="5" t="n">
        <v>33</v>
      </c>
      <c r="B35" s="5" t="inlineStr">
        <is>
          <t>SAH157</t>
        </is>
      </c>
      <c r="C35" s="6" t="inlineStr">
        <is>
          <t>SAH157 - VITAMIN C</t>
        </is>
      </c>
      <c r="D35" s="5" t="n">
        <v>4</v>
      </c>
      <c r="E35" s="6" t="inlineStr">
        <is>
          <t>CETEARYL ALCOHOL</t>
        </is>
      </c>
      <c r="F35" s="6" t="inlineStr">
        <is>
          <t>8005-44-5;67762-27-0</t>
        </is>
      </c>
      <c r="G35" s="7" t="n">
        <v>1.2</v>
      </c>
      <c r="H35" s="6" t="inlineStr">
        <is>
          <t>HAND CREAM</t>
        </is>
      </c>
      <c r="I35" s="21">
        <f>E35</f>
        <v/>
      </c>
      <c r="J35" s="21">
        <f>F35</f>
        <v/>
      </c>
      <c r="K35" s="21" t="n"/>
      <c r="L35" s="22" t="n"/>
      <c r="M35" s="21" t="n"/>
      <c r="N35" s="23" t="n"/>
      <c r="O35" s="23" t="n"/>
      <c r="P35" s="23" t="n"/>
      <c r="Q35" s="23" t="n"/>
      <c r="R35" s="23" t="n"/>
      <c r="S35" s="24" t="n"/>
      <c r="T35" s="24" t="n"/>
      <c r="U35" s="24" t="n"/>
      <c r="V35" s="24" t="n"/>
      <c r="W35" s="24" t="n"/>
      <c r="X35" s="24" t="n"/>
      <c r="Y35" s="24" t="n"/>
      <c r="Z35" s="6" t="n"/>
      <c r="AA35" s="6" t="n"/>
      <c r="AB35" s="6" t="n"/>
      <c r="AC35" s="6" t="n"/>
      <c r="AD35" s="6" t="n"/>
      <c r="AE35" s="23" t="n"/>
      <c r="AF35" s="23" t="n"/>
      <c r="AG35" s="23" t="n"/>
      <c r="AH35" s="25">
        <f>IF(OR(N35="Y",AE35="Y"),"Y","N")</f>
        <v/>
      </c>
      <c r="AI35" s="25">
        <f>IF(AH35="Y","Prohibited hit in CA/CFR",IF(S35="Y","Restricted - assess body site / max conc. / warning",IF(Z35="Y","No prohibition/restriction hit; CIR reference found","No hit in loaded 4 databases")))</f>
        <v/>
      </c>
      <c r="AJ35" s="25">
        <f>IF(AH35="Y","Reformulate / reject / escalate",IF(S35="Y","Manual compliance assessment required","Keep as reference / no restriction found in current databases"))</f>
        <v/>
      </c>
      <c r="AK35" s="25" t="n"/>
      <c r="AL35" s="25" t="n"/>
      <c r="AM35" s="25" t="n"/>
      <c r="AN35" s="26" t="n"/>
    </row>
    <row r="36">
      <c r="A36" s="5" t="n">
        <v>34</v>
      </c>
      <c r="B36" s="5" t="inlineStr">
        <is>
          <t>SAH157</t>
        </is>
      </c>
      <c r="C36" s="6" t="inlineStr">
        <is>
          <t>SAH157 - VITAMIN C</t>
        </is>
      </c>
      <c r="D36" s="5" t="n">
        <v>5</v>
      </c>
      <c r="E36" s="6" t="inlineStr">
        <is>
          <t>ACRYLATES COPOLYMER</t>
        </is>
      </c>
      <c r="F36" s="6" t="inlineStr">
        <is>
          <t>25035-69-2;25212-88-8;25685-29-4;159666-35-0</t>
        </is>
      </c>
      <c r="G36" s="7" t="n">
        <v>1.2</v>
      </c>
      <c r="H36" s="6" t="inlineStr">
        <is>
          <t>HAND CREAM</t>
        </is>
      </c>
      <c r="I36" s="21">
        <f>E36</f>
        <v/>
      </c>
      <c r="J36" s="21">
        <f>F36</f>
        <v/>
      </c>
      <c r="K36" s="21" t="n"/>
      <c r="L36" s="22" t="n"/>
      <c r="M36" s="21" t="n"/>
      <c r="N36" s="23" t="n"/>
      <c r="O36" s="23" t="n"/>
      <c r="P36" s="23" t="n"/>
      <c r="Q36" s="23" t="n"/>
      <c r="R36" s="23" t="n"/>
      <c r="S36" s="24" t="n"/>
      <c r="T36" s="24" t="n"/>
      <c r="U36" s="24" t="n"/>
      <c r="V36" s="24" t="n"/>
      <c r="W36" s="24" t="n"/>
      <c r="X36" s="24" t="n"/>
      <c r="Y36" s="24" t="n"/>
      <c r="Z36" s="6" t="n"/>
      <c r="AA36" s="6" t="n"/>
      <c r="AB36" s="6" t="n"/>
      <c r="AC36" s="6" t="n"/>
      <c r="AD36" s="6" t="n"/>
      <c r="AE36" s="23" t="n"/>
      <c r="AF36" s="23" t="n"/>
      <c r="AG36" s="23" t="n"/>
      <c r="AH36" s="25">
        <f>IF(OR(N36="Y",AE36="Y"),"Y","N")</f>
        <v/>
      </c>
      <c r="AI36" s="25">
        <f>IF(AH36="Y","Prohibited hit in CA/CFR",IF(S36="Y","Restricted - assess body site / max conc. / warning",IF(Z36="Y","No prohibition/restriction hit; CIR reference found","No hit in loaded 4 databases")))</f>
        <v/>
      </c>
      <c r="AJ36" s="25">
        <f>IF(AH36="Y","Reformulate / reject / escalate",IF(S36="Y","Manual compliance assessment required","Keep as reference / no restriction found in current databases"))</f>
        <v/>
      </c>
      <c r="AK36" s="25" t="n"/>
      <c r="AL36" s="25" t="n"/>
      <c r="AM36" s="25" t="n"/>
      <c r="AN36" s="26" t="n"/>
    </row>
    <row r="37">
      <c r="A37" s="5" t="n">
        <v>35</v>
      </c>
      <c r="B37" s="5" t="inlineStr">
        <is>
          <t>SAH157</t>
        </is>
      </c>
      <c r="C37" s="6" t="inlineStr">
        <is>
          <t>SAH157 - VITAMIN C</t>
        </is>
      </c>
      <c r="D37" s="5" t="n">
        <v>6</v>
      </c>
      <c r="E37" s="6" t="inlineStr">
        <is>
          <t>DIMETHICONE</t>
        </is>
      </c>
      <c r="F37" s="6" t="inlineStr">
        <is>
          <t>63148-62-9</t>
        </is>
      </c>
      <c r="G37" s="7" t="n">
        <v>0.5</v>
      </c>
      <c r="H37" s="6" t="inlineStr">
        <is>
          <t>HAND CREAM</t>
        </is>
      </c>
      <c r="I37" s="21">
        <f>E37</f>
        <v/>
      </c>
      <c r="J37" s="21">
        <f>F37</f>
        <v/>
      </c>
      <c r="K37" s="21" t="n"/>
      <c r="L37" s="22" t="n"/>
      <c r="M37" s="21" t="n"/>
      <c r="N37" s="23" t="n"/>
      <c r="O37" s="23" t="n"/>
      <c r="P37" s="23" t="n"/>
      <c r="Q37" s="23" t="n"/>
      <c r="R37" s="23" t="n"/>
      <c r="S37" s="24" t="n"/>
      <c r="T37" s="24" t="n"/>
      <c r="U37" s="24" t="n"/>
      <c r="V37" s="24" t="n"/>
      <c r="W37" s="24" t="n"/>
      <c r="X37" s="24" t="n"/>
      <c r="Y37" s="24" t="n"/>
      <c r="Z37" s="6" t="n"/>
      <c r="AA37" s="6" t="n"/>
      <c r="AB37" s="6" t="n"/>
      <c r="AC37" s="6" t="n"/>
      <c r="AD37" s="6" t="n"/>
      <c r="AE37" s="23" t="n"/>
      <c r="AF37" s="23" t="n"/>
      <c r="AG37" s="23" t="n"/>
      <c r="AH37" s="25">
        <f>IF(OR(N37="Y",AE37="Y"),"Y","N")</f>
        <v/>
      </c>
      <c r="AI37" s="25">
        <f>IF(AH37="Y","Prohibited hit in CA/CFR",IF(S37="Y","Restricted - assess body site / max conc. / warning",IF(Z37="Y","No prohibition/restriction hit; CIR reference found","No hit in loaded 4 databases")))</f>
        <v/>
      </c>
      <c r="AJ37" s="25">
        <f>IF(AH37="Y","Reformulate / reject / escalate",IF(S37="Y","Manual compliance assessment required","Keep as reference / no restriction found in current databases"))</f>
        <v/>
      </c>
      <c r="AK37" s="25" t="n"/>
      <c r="AL37" s="25" t="n"/>
      <c r="AM37" s="25" t="n"/>
      <c r="AN37" s="26" t="n"/>
    </row>
    <row r="38">
      <c r="A38" s="5" t="n">
        <v>36</v>
      </c>
      <c r="B38" s="5" t="inlineStr">
        <is>
          <t>SAH157</t>
        </is>
      </c>
      <c r="C38" s="6" t="inlineStr">
        <is>
          <t>SAH157 - VITAMIN C</t>
        </is>
      </c>
      <c r="D38" s="5" t="n">
        <v>7</v>
      </c>
      <c r="E38" s="6" t="inlineStr">
        <is>
          <t>DIAZOLIDINYL UREA</t>
        </is>
      </c>
      <c r="F38" s="6" t="inlineStr">
        <is>
          <t>78491-02-8</t>
        </is>
      </c>
      <c r="G38" s="7" t="n">
        <v>0.2</v>
      </c>
      <c r="H38" s="6" t="inlineStr">
        <is>
          <t>HAND CREAM</t>
        </is>
      </c>
      <c r="I38" s="21">
        <f>E38</f>
        <v/>
      </c>
      <c r="J38" s="21">
        <f>F38</f>
        <v/>
      </c>
      <c r="K38" s="21" t="n"/>
      <c r="L38" s="22" t="n"/>
      <c r="M38" s="21" t="n"/>
      <c r="N38" s="23" t="n"/>
      <c r="O38" s="23" t="n"/>
      <c r="P38" s="23" t="n"/>
      <c r="Q38" s="23" t="n"/>
      <c r="R38" s="23" t="n"/>
      <c r="S38" s="24" t="n"/>
      <c r="T38" s="24" t="n"/>
      <c r="U38" s="24" t="n"/>
      <c r="V38" s="24" t="n"/>
      <c r="W38" s="24" t="n"/>
      <c r="X38" s="24" t="n"/>
      <c r="Y38" s="24" t="n"/>
      <c r="Z38" s="6" t="n"/>
      <c r="AA38" s="6" t="n"/>
      <c r="AB38" s="6" t="n"/>
      <c r="AC38" s="6" t="n"/>
      <c r="AD38" s="6" t="n"/>
      <c r="AE38" s="23" t="n"/>
      <c r="AF38" s="23" t="n"/>
      <c r="AG38" s="23" t="n"/>
      <c r="AH38" s="25">
        <f>IF(OR(N38="Y",AE38="Y"),"Y","N")</f>
        <v/>
      </c>
      <c r="AI38" s="25">
        <f>IF(AH38="Y","Prohibited hit in CA/CFR",IF(S38="Y","Restricted - assess body site / max conc. / warning",IF(Z38="Y","No prohibition/restriction hit; CIR reference found","No hit in loaded 4 databases")))</f>
        <v/>
      </c>
      <c r="AJ38" s="25">
        <f>IF(AH38="Y","Reformulate / reject / escalate",IF(S38="Y","Manual compliance assessment required","Keep as reference / no restriction found in current databases"))</f>
        <v/>
      </c>
      <c r="AK38" s="25" t="n"/>
      <c r="AL38" s="25" t="n"/>
      <c r="AM38" s="25" t="n"/>
      <c r="AN38" s="26" t="n"/>
    </row>
    <row r="39">
      <c r="A39" s="5" t="n">
        <v>37</v>
      </c>
      <c r="B39" s="5" t="inlineStr">
        <is>
          <t>SAH157</t>
        </is>
      </c>
      <c r="C39" s="6" t="inlineStr">
        <is>
          <t>SAH157 - VITAMIN C</t>
        </is>
      </c>
      <c r="D39" s="5" t="n">
        <v>8</v>
      </c>
      <c r="E39" s="6" t="inlineStr">
        <is>
          <t>METHYLPARABEN</t>
        </is>
      </c>
      <c r="F39" s="6" t="inlineStr">
        <is>
          <t>99-76-3</t>
        </is>
      </c>
      <c r="G39" s="7" t="n">
        <v>0.2</v>
      </c>
      <c r="H39" s="6" t="inlineStr">
        <is>
          <t>HAND CREAM</t>
        </is>
      </c>
      <c r="I39" s="21">
        <f>E39</f>
        <v/>
      </c>
      <c r="J39" s="21">
        <f>F39</f>
        <v/>
      </c>
      <c r="K39" s="21" t="n"/>
      <c r="L39" s="22" t="n"/>
      <c r="M39" s="21" t="n"/>
      <c r="N39" s="23" t="n"/>
      <c r="O39" s="23" t="n"/>
      <c r="P39" s="23" t="n"/>
      <c r="Q39" s="23" t="n"/>
      <c r="R39" s="23" t="n"/>
      <c r="S39" s="24" t="n"/>
      <c r="T39" s="24" t="n"/>
      <c r="U39" s="24" t="n"/>
      <c r="V39" s="24" t="n"/>
      <c r="W39" s="24" t="n"/>
      <c r="X39" s="24" t="n"/>
      <c r="Y39" s="24" t="n"/>
      <c r="Z39" s="6" t="n"/>
      <c r="AA39" s="6" t="n"/>
      <c r="AB39" s="6" t="n"/>
      <c r="AC39" s="6" t="n"/>
      <c r="AD39" s="6" t="n"/>
      <c r="AE39" s="23" t="n"/>
      <c r="AF39" s="23" t="n"/>
      <c r="AG39" s="23" t="n"/>
      <c r="AH39" s="25">
        <f>IF(OR(N39="Y",AE39="Y"),"Y","N")</f>
        <v/>
      </c>
      <c r="AI39" s="25">
        <f>IF(AH39="Y","Prohibited hit in CA/CFR",IF(S39="Y","Restricted - assess body site / max conc. / warning",IF(Z39="Y","No prohibition/restriction hit; CIR reference found","No hit in loaded 4 databases")))</f>
        <v/>
      </c>
      <c r="AJ39" s="25">
        <f>IF(AH39="Y","Reformulate / reject / escalate",IF(S39="Y","Manual compliance assessment required","Keep as reference / no restriction found in current databases"))</f>
        <v/>
      </c>
      <c r="AK39" s="25" t="n"/>
      <c r="AL39" s="25" t="n"/>
      <c r="AM39" s="25" t="n"/>
      <c r="AN39" s="26" t="n"/>
    </row>
    <row r="40">
      <c r="A40" s="5" t="n">
        <v>38</v>
      </c>
      <c r="B40" s="5" t="inlineStr">
        <is>
          <t>SAH157</t>
        </is>
      </c>
      <c r="C40" s="6" t="inlineStr">
        <is>
          <t>SAH157 - VITAMIN C</t>
        </is>
      </c>
      <c r="D40" s="5" t="n">
        <v>9</v>
      </c>
      <c r="E40" s="6" t="inlineStr">
        <is>
          <t>FRAGRANCE</t>
        </is>
      </c>
      <c r="F40" s="6" t="n"/>
      <c r="G40" s="7" t="n">
        <v>0.2</v>
      </c>
      <c r="H40" s="6" t="inlineStr">
        <is>
          <t>HAND CREAM</t>
        </is>
      </c>
      <c r="I40" s="21">
        <f>E40</f>
        <v/>
      </c>
      <c r="J40" s="21">
        <f>F40</f>
        <v/>
      </c>
      <c r="K40" s="21" t="n"/>
      <c r="L40" s="22" t="n"/>
      <c r="M40" s="21" t="n"/>
      <c r="N40" s="23" t="n"/>
      <c r="O40" s="23" t="n"/>
      <c r="P40" s="23" t="n"/>
      <c r="Q40" s="23" t="n"/>
      <c r="R40" s="23" t="n"/>
      <c r="S40" s="24" t="n"/>
      <c r="T40" s="24" t="n"/>
      <c r="U40" s="24" t="n"/>
      <c r="V40" s="24" t="n"/>
      <c r="W40" s="24" t="n"/>
      <c r="X40" s="24" t="n"/>
      <c r="Y40" s="24" t="n"/>
      <c r="Z40" s="6" t="n"/>
      <c r="AA40" s="6" t="n"/>
      <c r="AB40" s="6" t="n"/>
      <c r="AC40" s="6" t="n"/>
      <c r="AD40" s="6" t="n"/>
      <c r="AE40" s="23" t="n"/>
      <c r="AF40" s="23" t="n"/>
      <c r="AG40" s="23" t="n"/>
      <c r="AH40" s="25">
        <f>IF(OR(N40="Y",AE40="Y"),"Y","N")</f>
        <v/>
      </c>
      <c r="AI40" s="25">
        <f>IF(AH40="Y","Prohibited hit in CA/CFR",IF(S40="Y","Restricted - assess body site / max conc. / warning",IF(Z40="Y","No prohibition/restriction hit; CIR reference found","No hit in loaded 4 databases")))</f>
        <v/>
      </c>
      <c r="AJ40" s="25">
        <f>IF(AH40="Y","Reformulate / reject / escalate",IF(S40="Y","Manual compliance assessment required","Keep as reference / no restriction found in current databases"))</f>
        <v/>
      </c>
      <c r="AK40" s="25" t="n"/>
      <c r="AL40" s="25" t="n"/>
      <c r="AM40" s="25" t="n"/>
      <c r="AN40" s="26" t="n"/>
    </row>
    <row r="41">
      <c r="A41" s="5" t="n">
        <v>39</v>
      </c>
      <c r="B41" s="5" t="inlineStr">
        <is>
          <t>SAH157</t>
        </is>
      </c>
      <c r="C41" s="6" t="inlineStr">
        <is>
          <t>SAH157 - VITAMIN C</t>
        </is>
      </c>
      <c r="D41" s="5" t="n">
        <v>10</v>
      </c>
      <c r="E41" s="6" t="inlineStr">
        <is>
          <t>PROPYLPARABEN</t>
        </is>
      </c>
      <c r="F41" s="6" t="inlineStr">
        <is>
          <t>94-13-3</t>
        </is>
      </c>
      <c r="G41" s="7" t="n">
        <v>0.1</v>
      </c>
      <c r="H41" s="6" t="inlineStr">
        <is>
          <t>HAND CREAM</t>
        </is>
      </c>
      <c r="I41" s="21">
        <f>E41</f>
        <v/>
      </c>
      <c r="J41" s="21">
        <f>F41</f>
        <v/>
      </c>
      <c r="K41" s="21" t="n"/>
      <c r="L41" s="22" t="n"/>
      <c r="M41" s="21" t="n"/>
      <c r="N41" s="23" t="n"/>
      <c r="O41" s="23" t="n"/>
      <c r="P41" s="23" t="n"/>
      <c r="Q41" s="23" t="n"/>
      <c r="R41" s="23" t="n"/>
      <c r="S41" s="24" t="n"/>
      <c r="T41" s="24" t="n"/>
      <c r="U41" s="24" t="n"/>
      <c r="V41" s="24" t="n"/>
      <c r="W41" s="24" t="n"/>
      <c r="X41" s="24" t="n"/>
      <c r="Y41" s="24" t="n"/>
      <c r="Z41" s="6" t="n"/>
      <c r="AA41" s="6" t="n"/>
      <c r="AB41" s="6" t="n"/>
      <c r="AC41" s="6" t="n"/>
      <c r="AD41" s="6" t="n"/>
      <c r="AE41" s="23" t="n"/>
      <c r="AF41" s="23" t="n"/>
      <c r="AG41" s="23" t="n"/>
      <c r="AH41" s="25">
        <f>IF(OR(N41="Y",AE41="Y"),"Y","N")</f>
        <v/>
      </c>
      <c r="AI41" s="25">
        <f>IF(AH41="Y","Prohibited hit in CA/CFR",IF(S41="Y","Restricted - assess body site / max conc. / warning",IF(Z41="Y","No prohibition/restriction hit; CIR reference found","No hit in loaded 4 databases")))</f>
        <v/>
      </c>
      <c r="AJ41" s="25">
        <f>IF(AH41="Y","Reformulate / reject / escalate",IF(S41="Y","Manual compliance assessment required","Keep as reference / no restriction found in current databases"))</f>
        <v/>
      </c>
      <c r="AK41" s="25" t="n"/>
      <c r="AL41" s="25" t="n"/>
      <c r="AM41" s="25" t="n"/>
      <c r="AN41" s="26" t="n"/>
    </row>
    <row r="42">
      <c r="A42" s="5" t="n">
        <v>40</v>
      </c>
      <c r="B42" s="5" t="inlineStr">
        <is>
          <t>SAH157</t>
        </is>
      </c>
      <c r="C42" s="6" t="inlineStr">
        <is>
          <t>SAH157 - VITAMIN C</t>
        </is>
      </c>
      <c r="D42" s="5" t="n">
        <v>11</v>
      </c>
      <c r="E42" s="6" t="inlineStr">
        <is>
          <t>XANTHAN GUM</t>
        </is>
      </c>
      <c r="F42" s="6" t="inlineStr">
        <is>
          <t>11138-66-2</t>
        </is>
      </c>
      <c r="G42" s="7" t="n">
        <v>0.05</v>
      </c>
      <c r="H42" s="6" t="inlineStr">
        <is>
          <t>HAND CREAM</t>
        </is>
      </c>
      <c r="I42" s="21">
        <f>E42</f>
        <v/>
      </c>
      <c r="J42" s="21">
        <f>F42</f>
        <v/>
      </c>
      <c r="K42" s="21" t="n"/>
      <c r="L42" s="22" t="n"/>
      <c r="M42" s="21" t="n"/>
      <c r="N42" s="23" t="n"/>
      <c r="O42" s="23" t="n"/>
      <c r="P42" s="23" t="n"/>
      <c r="Q42" s="23" t="n"/>
      <c r="R42" s="23" t="n"/>
      <c r="S42" s="24" t="n"/>
      <c r="T42" s="24" t="n"/>
      <c r="U42" s="24" t="n"/>
      <c r="V42" s="24" t="n"/>
      <c r="W42" s="24" t="n"/>
      <c r="X42" s="24" t="n"/>
      <c r="Y42" s="24" t="n"/>
      <c r="Z42" s="6" t="n"/>
      <c r="AA42" s="6" t="n"/>
      <c r="AB42" s="6" t="n"/>
      <c r="AC42" s="6" t="n"/>
      <c r="AD42" s="6" t="n"/>
      <c r="AE42" s="23" t="n"/>
      <c r="AF42" s="23" t="n"/>
      <c r="AG42" s="23" t="n"/>
      <c r="AH42" s="25">
        <f>IF(OR(N42="Y",AE42="Y"),"Y","N")</f>
        <v/>
      </c>
      <c r="AI42" s="25">
        <f>IF(AH42="Y","Prohibited hit in CA/CFR",IF(S42="Y","Restricted - assess body site / max conc. / warning",IF(Z42="Y","No prohibition/restriction hit; CIR reference found","No hit in loaded 4 databases")))</f>
        <v/>
      </c>
      <c r="AJ42" s="25">
        <f>IF(AH42="Y","Reformulate / reject / escalate",IF(S42="Y","Manual compliance assessment required","Keep as reference / no restriction found in current databases"))</f>
        <v/>
      </c>
      <c r="AK42" s="25" t="n"/>
      <c r="AL42" s="25" t="n"/>
      <c r="AM42" s="25" t="n"/>
      <c r="AN42" s="26" t="n"/>
    </row>
    <row r="43">
      <c r="A43" s="5" t="n">
        <v>41</v>
      </c>
      <c r="B43" s="5" t="inlineStr">
        <is>
          <t>SAH157</t>
        </is>
      </c>
      <c r="C43" s="6" t="inlineStr">
        <is>
          <t>SAH157 - VITAMIN C</t>
        </is>
      </c>
      <c r="D43" s="5" t="n">
        <v>13</v>
      </c>
      <c r="E43" s="6" t="inlineStr">
        <is>
          <t>3-o-ETHYL ASCORBIC ACID</t>
        </is>
      </c>
      <c r="F43" s="6" t="inlineStr">
        <is>
          <t>86404-04-8</t>
        </is>
      </c>
      <c r="G43" s="7" t="n">
        <v>0.05</v>
      </c>
      <c r="H43" s="6" t="inlineStr">
        <is>
          <t>HAND CREAM</t>
        </is>
      </c>
      <c r="I43" s="21">
        <f>E43</f>
        <v/>
      </c>
      <c r="J43" s="21">
        <f>F43</f>
        <v/>
      </c>
      <c r="K43" s="21" t="n"/>
      <c r="L43" s="22" t="n"/>
      <c r="M43" s="21" t="n"/>
      <c r="N43" s="23" t="n"/>
      <c r="O43" s="23" t="n"/>
      <c r="P43" s="23" t="n"/>
      <c r="Q43" s="23" t="n"/>
      <c r="R43" s="23" t="n"/>
      <c r="S43" s="24" t="n"/>
      <c r="T43" s="24" t="n"/>
      <c r="U43" s="24" t="n"/>
      <c r="V43" s="24" t="n"/>
      <c r="W43" s="24" t="n"/>
      <c r="X43" s="24" t="n"/>
      <c r="Y43" s="24" t="n"/>
      <c r="Z43" s="6" t="n"/>
      <c r="AA43" s="6" t="n"/>
      <c r="AB43" s="6" t="n"/>
      <c r="AC43" s="6" t="n"/>
      <c r="AD43" s="6" t="n"/>
      <c r="AE43" s="23" t="n"/>
      <c r="AF43" s="23" t="n"/>
      <c r="AG43" s="23" t="n"/>
      <c r="AH43" s="25">
        <f>IF(OR(N43="Y",AE43="Y"),"Y","N")</f>
        <v/>
      </c>
      <c r="AI43" s="25">
        <f>IF(AH43="Y","Prohibited hit in CA/CFR",IF(S43="Y","Restricted - assess body site / max conc. / warning",IF(Z43="Y","No prohibition/restriction hit; CIR reference found","No hit in loaded 4 databases")))</f>
        <v/>
      </c>
      <c r="AJ43" s="25">
        <f>IF(AH43="Y","Reformulate / reject / escalate",IF(S43="Y","Manual compliance assessment required","Keep as reference / no restriction found in current databases"))</f>
        <v/>
      </c>
      <c r="AK43" s="25" t="n"/>
      <c r="AL43" s="25" t="n"/>
      <c r="AM43" s="25" t="n"/>
      <c r="AN43" s="26" t="n"/>
    </row>
    <row r="46">
      <c r="A46" s="27" t="inlineStr">
        <is>
          <t>使用说明</t>
        </is>
      </c>
    </row>
    <row r="47">
      <c r="A47" t="inlineStr">
        <is>
          <t>Manual Review?：建议取值 Y / N / MAYBE；当存在直译、植物部位差异、extract vs extraction、俗名/拉丁名混用时标记。</t>
        </is>
      </c>
    </row>
    <row r="48">
      <c r="A48" t="inlineStr">
        <is>
          <t>Final Disposition：建议取值 Pass / Fail / Pending Review / Need Client Clarification。</t>
        </is>
      </c>
    </row>
  </sheetData>
  <mergeCells count="7">
    <mergeCell ref="AE1:AG1"/>
    <mergeCell ref="Z1:AD1"/>
    <mergeCell ref="A1:H1"/>
    <mergeCell ref="I1:M1"/>
    <mergeCell ref="S1:Y1"/>
    <mergeCell ref="AH1:AN1"/>
    <mergeCell ref="N1:R1"/>
  </mergeCells>
  <conditionalFormatting sqref="A3:AN3">
    <cfRule type="expression" priority="1" dxfId="0">
      <formula>$AH3="Y"</formula>
    </cfRule>
    <cfRule type="expression" priority="2" dxfId="1">
      <formula>AND($AH3&lt;&gt;"Y",$S3="Y")</formula>
    </cfRule>
    <cfRule type="expression" priority="3" dxfId="2">
      <formula>AND($AH3&lt;&gt;"Y",$S3&lt;&gt;"Y",$M3="Y")</formula>
    </cfRule>
  </conditionalFormatting>
  <conditionalFormatting sqref="A4:AN4">
    <cfRule type="expression" priority="4" dxfId="0">
      <formula>$AH4="Y"</formula>
    </cfRule>
    <cfRule type="expression" priority="5" dxfId="1">
      <formula>AND($AH4&lt;&gt;"Y",$S4="Y")</formula>
    </cfRule>
    <cfRule type="expression" priority="6" dxfId="2">
      <formula>AND($AH4&lt;&gt;"Y",$S4&lt;&gt;"Y",$M4="Y")</formula>
    </cfRule>
  </conditionalFormatting>
  <conditionalFormatting sqref="A5:AN5">
    <cfRule type="expression" priority="7" dxfId="0">
      <formula>$AH5="Y"</formula>
    </cfRule>
    <cfRule type="expression" priority="8" dxfId="1">
      <formula>AND($AH5&lt;&gt;"Y",$S5="Y")</formula>
    </cfRule>
    <cfRule type="expression" priority="9" dxfId="2">
      <formula>AND($AH5&lt;&gt;"Y",$S5&lt;&gt;"Y",$M5="Y")</formula>
    </cfRule>
  </conditionalFormatting>
  <conditionalFormatting sqref="A6:AN6">
    <cfRule type="expression" priority="10" dxfId="0">
      <formula>$AH6="Y"</formula>
    </cfRule>
    <cfRule type="expression" priority="11" dxfId="1">
      <formula>AND($AH6&lt;&gt;"Y",$S6="Y")</formula>
    </cfRule>
    <cfRule type="expression" priority="12" dxfId="2">
      <formula>AND($AH6&lt;&gt;"Y",$S6&lt;&gt;"Y",$M6="Y")</formula>
    </cfRule>
  </conditionalFormatting>
  <conditionalFormatting sqref="A7:AN7">
    <cfRule type="expression" priority="13" dxfId="0">
      <formula>$AH7="Y"</formula>
    </cfRule>
    <cfRule type="expression" priority="14" dxfId="1">
      <formula>AND($AH7&lt;&gt;"Y",$S7="Y")</formula>
    </cfRule>
    <cfRule type="expression" priority="15" dxfId="2">
      <formula>AND($AH7&lt;&gt;"Y",$S7&lt;&gt;"Y",$M7="Y")</formula>
    </cfRule>
  </conditionalFormatting>
  <conditionalFormatting sqref="A8:AN8">
    <cfRule type="expression" priority="16" dxfId="0">
      <formula>$AH8="Y"</formula>
    </cfRule>
    <cfRule type="expression" priority="17" dxfId="1">
      <formula>AND($AH8&lt;&gt;"Y",$S8="Y")</formula>
    </cfRule>
    <cfRule type="expression" priority="18" dxfId="2">
      <formula>AND($AH8&lt;&gt;"Y",$S8&lt;&gt;"Y",$M8="Y")</formula>
    </cfRule>
  </conditionalFormatting>
  <conditionalFormatting sqref="A9:AN9">
    <cfRule type="expression" priority="19" dxfId="0">
      <formula>$AH9="Y"</formula>
    </cfRule>
    <cfRule type="expression" priority="20" dxfId="1">
      <formula>AND($AH9&lt;&gt;"Y",$S9="Y")</formula>
    </cfRule>
    <cfRule type="expression" priority="21" dxfId="2">
      <formula>AND($AH9&lt;&gt;"Y",$S9&lt;&gt;"Y",$M9="Y")</formula>
    </cfRule>
  </conditionalFormatting>
  <conditionalFormatting sqref="A10:AN10">
    <cfRule type="expression" priority="22" dxfId="0">
      <formula>$AH10="Y"</formula>
    </cfRule>
    <cfRule type="expression" priority="23" dxfId="1">
      <formula>AND($AH10&lt;&gt;"Y",$S10="Y")</formula>
    </cfRule>
    <cfRule type="expression" priority="24" dxfId="2">
      <formula>AND($AH10&lt;&gt;"Y",$S10&lt;&gt;"Y",$M10="Y")</formula>
    </cfRule>
  </conditionalFormatting>
  <conditionalFormatting sqref="A11:AN11">
    <cfRule type="expression" priority="25" dxfId="0">
      <formula>$AH11="Y"</formula>
    </cfRule>
    <cfRule type="expression" priority="26" dxfId="1">
      <formula>AND($AH11&lt;&gt;"Y",$S11="Y")</formula>
    </cfRule>
    <cfRule type="expression" priority="27" dxfId="2">
      <formula>AND($AH11&lt;&gt;"Y",$S11&lt;&gt;"Y",$M11="Y")</formula>
    </cfRule>
  </conditionalFormatting>
  <conditionalFormatting sqref="A12:AN12">
    <cfRule type="expression" priority="28" dxfId="0">
      <formula>$AH12="Y"</formula>
    </cfRule>
    <cfRule type="expression" priority="29" dxfId="1">
      <formula>AND($AH12&lt;&gt;"Y",$S12="Y")</formula>
    </cfRule>
    <cfRule type="expression" priority="30" dxfId="2">
      <formula>AND($AH12&lt;&gt;"Y",$S12&lt;&gt;"Y",$M12="Y")</formula>
    </cfRule>
  </conditionalFormatting>
  <conditionalFormatting sqref="A13:AN13">
    <cfRule type="expression" priority="31" dxfId="0">
      <formula>$AH13="Y"</formula>
    </cfRule>
    <cfRule type="expression" priority="32" dxfId="1">
      <formula>AND($AH13&lt;&gt;"Y",$S13="Y")</formula>
    </cfRule>
    <cfRule type="expression" priority="33" dxfId="2">
      <formula>AND($AH13&lt;&gt;"Y",$S13&lt;&gt;"Y",$M13="Y")</formula>
    </cfRule>
  </conditionalFormatting>
  <conditionalFormatting sqref="A14:AN14">
    <cfRule type="expression" priority="34" dxfId="0">
      <formula>$AH14="Y"</formula>
    </cfRule>
    <cfRule type="expression" priority="35" dxfId="1">
      <formula>AND($AH14&lt;&gt;"Y",$S14="Y")</formula>
    </cfRule>
    <cfRule type="expression" priority="36" dxfId="2">
      <formula>AND($AH14&lt;&gt;"Y",$S14&lt;&gt;"Y",$M14="Y")</formula>
    </cfRule>
  </conditionalFormatting>
  <conditionalFormatting sqref="A15:AN15">
    <cfRule type="expression" priority="37" dxfId="0">
      <formula>$AH15="Y"</formula>
    </cfRule>
    <cfRule type="expression" priority="38" dxfId="1">
      <formula>AND($AH15&lt;&gt;"Y",$S15="Y")</formula>
    </cfRule>
    <cfRule type="expression" priority="39" dxfId="2">
      <formula>AND($AH15&lt;&gt;"Y",$S15&lt;&gt;"Y",$M15="Y")</formula>
    </cfRule>
  </conditionalFormatting>
  <conditionalFormatting sqref="A16:AN16">
    <cfRule type="expression" priority="40" dxfId="0">
      <formula>$AH16="Y"</formula>
    </cfRule>
    <cfRule type="expression" priority="41" dxfId="1">
      <formula>AND($AH16&lt;&gt;"Y",$S16="Y")</formula>
    </cfRule>
    <cfRule type="expression" priority="42" dxfId="2">
      <formula>AND($AH16&lt;&gt;"Y",$S16&lt;&gt;"Y",$M16="Y")</formula>
    </cfRule>
  </conditionalFormatting>
  <conditionalFormatting sqref="A17:AN17">
    <cfRule type="expression" priority="43" dxfId="0">
      <formula>$AH17="Y"</formula>
    </cfRule>
    <cfRule type="expression" priority="44" dxfId="1">
      <formula>AND($AH17&lt;&gt;"Y",$S17="Y")</formula>
    </cfRule>
    <cfRule type="expression" priority="45" dxfId="2">
      <formula>AND($AH17&lt;&gt;"Y",$S17&lt;&gt;"Y",$M17="Y")</formula>
    </cfRule>
  </conditionalFormatting>
  <conditionalFormatting sqref="A18:AN18">
    <cfRule type="expression" priority="46" dxfId="0">
      <formula>$AH18="Y"</formula>
    </cfRule>
    <cfRule type="expression" priority="47" dxfId="1">
      <formula>AND($AH18&lt;&gt;"Y",$S18="Y")</formula>
    </cfRule>
    <cfRule type="expression" priority="48" dxfId="2">
      <formula>AND($AH18&lt;&gt;"Y",$S18&lt;&gt;"Y",$M18="Y")</formula>
    </cfRule>
  </conditionalFormatting>
  <conditionalFormatting sqref="A19:AN19">
    <cfRule type="expression" priority="49" dxfId="0">
      <formula>$AH19="Y"</formula>
    </cfRule>
    <cfRule type="expression" priority="50" dxfId="1">
      <formula>AND($AH19&lt;&gt;"Y",$S19="Y")</formula>
    </cfRule>
    <cfRule type="expression" priority="51" dxfId="2">
      <formula>AND($AH19&lt;&gt;"Y",$S19&lt;&gt;"Y",$M19="Y")</formula>
    </cfRule>
  </conditionalFormatting>
  <conditionalFormatting sqref="A20:AN20">
    <cfRule type="expression" priority="52" dxfId="0">
      <formula>$AH20="Y"</formula>
    </cfRule>
    <cfRule type="expression" priority="53" dxfId="1">
      <formula>AND($AH20&lt;&gt;"Y",$S20="Y")</formula>
    </cfRule>
    <cfRule type="expression" priority="54" dxfId="2">
      <formula>AND($AH20&lt;&gt;"Y",$S20&lt;&gt;"Y",$M20="Y")</formula>
    </cfRule>
  </conditionalFormatting>
  <conditionalFormatting sqref="A21:AN21">
    <cfRule type="expression" priority="55" dxfId="0">
      <formula>$AH21="Y"</formula>
    </cfRule>
    <cfRule type="expression" priority="56" dxfId="1">
      <formula>AND($AH21&lt;&gt;"Y",$S21="Y")</formula>
    </cfRule>
    <cfRule type="expression" priority="57" dxfId="2">
      <formula>AND($AH21&lt;&gt;"Y",$S21&lt;&gt;"Y",$M21="Y")</formula>
    </cfRule>
  </conditionalFormatting>
  <conditionalFormatting sqref="A22:AN22">
    <cfRule type="expression" priority="58" dxfId="0">
      <formula>$AH22="Y"</formula>
    </cfRule>
    <cfRule type="expression" priority="59" dxfId="1">
      <formula>AND($AH22&lt;&gt;"Y",$S22="Y")</formula>
    </cfRule>
    <cfRule type="expression" priority="60" dxfId="2">
      <formula>AND($AH22&lt;&gt;"Y",$S22&lt;&gt;"Y",$M22="Y")</formula>
    </cfRule>
  </conditionalFormatting>
  <conditionalFormatting sqref="A23:AN23">
    <cfRule type="expression" priority="61" dxfId="0">
      <formula>$AH23="Y"</formula>
    </cfRule>
    <cfRule type="expression" priority="62" dxfId="1">
      <formula>AND($AH23&lt;&gt;"Y",$S23="Y")</formula>
    </cfRule>
    <cfRule type="expression" priority="63" dxfId="2">
      <formula>AND($AH23&lt;&gt;"Y",$S23&lt;&gt;"Y",$M23="Y")</formula>
    </cfRule>
  </conditionalFormatting>
  <conditionalFormatting sqref="A24:AN24">
    <cfRule type="expression" priority="64" dxfId="0">
      <formula>$AH24="Y"</formula>
    </cfRule>
    <cfRule type="expression" priority="65" dxfId="1">
      <formula>AND($AH24&lt;&gt;"Y",$S24="Y")</formula>
    </cfRule>
    <cfRule type="expression" priority="66" dxfId="2">
      <formula>AND($AH24&lt;&gt;"Y",$S24&lt;&gt;"Y",$M24="Y")</formula>
    </cfRule>
  </conditionalFormatting>
  <conditionalFormatting sqref="A25:AN25">
    <cfRule type="expression" priority="67" dxfId="0">
      <formula>$AH25="Y"</formula>
    </cfRule>
    <cfRule type="expression" priority="68" dxfId="1">
      <formula>AND($AH25&lt;&gt;"Y",$S25="Y")</formula>
    </cfRule>
    <cfRule type="expression" priority="69" dxfId="2">
      <formula>AND($AH25&lt;&gt;"Y",$S25&lt;&gt;"Y",$M25="Y")</formula>
    </cfRule>
  </conditionalFormatting>
  <conditionalFormatting sqref="A26:AN26">
    <cfRule type="expression" priority="70" dxfId="0">
      <formula>$AH26="Y"</formula>
    </cfRule>
    <cfRule type="expression" priority="71" dxfId="1">
      <formula>AND($AH26&lt;&gt;"Y",$S26="Y")</formula>
    </cfRule>
    <cfRule type="expression" priority="72" dxfId="2">
      <formula>AND($AH26&lt;&gt;"Y",$S26&lt;&gt;"Y",$M26="Y")</formula>
    </cfRule>
  </conditionalFormatting>
  <conditionalFormatting sqref="A27:AN27">
    <cfRule type="expression" priority="73" dxfId="0">
      <formula>$AH27="Y"</formula>
    </cfRule>
    <cfRule type="expression" priority="74" dxfId="1">
      <formula>AND($AH27&lt;&gt;"Y",$S27="Y")</formula>
    </cfRule>
    <cfRule type="expression" priority="75" dxfId="2">
      <formula>AND($AH27&lt;&gt;"Y",$S27&lt;&gt;"Y",$M27="Y")</formula>
    </cfRule>
  </conditionalFormatting>
  <conditionalFormatting sqref="A28:AN28">
    <cfRule type="expression" priority="76" dxfId="0">
      <formula>$AH28="Y"</formula>
    </cfRule>
    <cfRule type="expression" priority="77" dxfId="1">
      <formula>AND($AH28&lt;&gt;"Y",$S28="Y")</formula>
    </cfRule>
    <cfRule type="expression" priority="78" dxfId="2">
      <formula>AND($AH28&lt;&gt;"Y",$S28&lt;&gt;"Y",$M28="Y")</formula>
    </cfRule>
  </conditionalFormatting>
  <conditionalFormatting sqref="A29:AN29">
    <cfRule type="expression" priority="79" dxfId="0">
      <formula>$AH29="Y"</formula>
    </cfRule>
    <cfRule type="expression" priority="80" dxfId="1">
      <formula>AND($AH29&lt;&gt;"Y",$S29="Y")</formula>
    </cfRule>
    <cfRule type="expression" priority="81" dxfId="2">
      <formula>AND($AH29&lt;&gt;"Y",$S29&lt;&gt;"Y",$M29="Y")</formula>
    </cfRule>
  </conditionalFormatting>
  <conditionalFormatting sqref="A30:AN30">
    <cfRule type="expression" priority="82" dxfId="0">
      <formula>$AH30="Y"</formula>
    </cfRule>
    <cfRule type="expression" priority="83" dxfId="1">
      <formula>AND($AH30&lt;&gt;"Y",$S30="Y")</formula>
    </cfRule>
    <cfRule type="expression" priority="84" dxfId="2">
      <formula>AND($AH30&lt;&gt;"Y",$S30&lt;&gt;"Y",$M30="Y")</formula>
    </cfRule>
  </conditionalFormatting>
  <conditionalFormatting sqref="A31:AN31">
    <cfRule type="expression" priority="85" dxfId="0">
      <formula>$AH31="Y"</formula>
    </cfRule>
    <cfRule type="expression" priority="86" dxfId="1">
      <formula>AND($AH31&lt;&gt;"Y",$S31="Y")</formula>
    </cfRule>
    <cfRule type="expression" priority="87" dxfId="2">
      <formula>AND($AH31&lt;&gt;"Y",$S31&lt;&gt;"Y",$M31="Y")</formula>
    </cfRule>
  </conditionalFormatting>
  <conditionalFormatting sqref="A32:AN32">
    <cfRule type="expression" priority="88" dxfId="0">
      <formula>$AH32="Y"</formula>
    </cfRule>
    <cfRule type="expression" priority="89" dxfId="1">
      <formula>AND($AH32&lt;&gt;"Y",$S32="Y")</formula>
    </cfRule>
    <cfRule type="expression" priority="90" dxfId="2">
      <formula>AND($AH32&lt;&gt;"Y",$S32&lt;&gt;"Y",$M32="Y")</formula>
    </cfRule>
  </conditionalFormatting>
  <conditionalFormatting sqref="A33:AN33">
    <cfRule type="expression" priority="91" dxfId="0">
      <formula>$AH33="Y"</formula>
    </cfRule>
    <cfRule type="expression" priority="92" dxfId="1">
      <formula>AND($AH33&lt;&gt;"Y",$S33="Y")</formula>
    </cfRule>
    <cfRule type="expression" priority="93" dxfId="2">
      <formula>AND($AH33&lt;&gt;"Y",$S33&lt;&gt;"Y",$M33="Y")</formula>
    </cfRule>
  </conditionalFormatting>
  <conditionalFormatting sqref="A34:AN34">
    <cfRule type="expression" priority="94" dxfId="0">
      <formula>$AH34="Y"</formula>
    </cfRule>
    <cfRule type="expression" priority="95" dxfId="1">
      <formula>AND($AH34&lt;&gt;"Y",$S34="Y")</formula>
    </cfRule>
    <cfRule type="expression" priority="96" dxfId="2">
      <formula>AND($AH34&lt;&gt;"Y",$S34&lt;&gt;"Y",$M34="Y")</formula>
    </cfRule>
  </conditionalFormatting>
  <conditionalFormatting sqref="A35:AN35">
    <cfRule type="expression" priority="97" dxfId="0">
      <formula>$AH35="Y"</formula>
    </cfRule>
    <cfRule type="expression" priority="98" dxfId="1">
      <formula>AND($AH35&lt;&gt;"Y",$S35="Y")</formula>
    </cfRule>
    <cfRule type="expression" priority="99" dxfId="2">
      <formula>AND($AH35&lt;&gt;"Y",$S35&lt;&gt;"Y",$M35="Y")</formula>
    </cfRule>
  </conditionalFormatting>
  <conditionalFormatting sqref="A36:AN36">
    <cfRule type="expression" priority="100" dxfId="0">
      <formula>$AH36="Y"</formula>
    </cfRule>
    <cfRule type="expression" priority="101" dxfId="1">
      <formula>AND($AH36&lt;&gt;"Y",$S36="Y")</formula>
    </cfRule>
    <cfRule type="expression" priority="102" dxfId="2">
      <formula>AND($AH36&lt;&gt;"Y",$S36&lt;&gt;"Y",$M36="Y")</formula>
    </cfRule>
  </conditionalFormatting>
  <conditionalFormatting sqref="A37:AN37">
    <cfRule type="expression" priority="103" dxfId="0">
      <formula>$AH37="Y"</formula>
    </cfRule>
    <cfRule type="expression" priority="104" dxfId="1">
      <formula>AND($AH37&lt;&gt;"Y",$S37="Y")</formula>
    </cfRule>
    <cfRule type="expression" priority="105" dxfId="2">
      <formula>AND($AH37&lt;&gt;"Y",$S37&lt;&gt;"Y",$M37="Y")</formula>
    </cfRule>
  </conditionalFormatting>
  <conditionalFormatting sqref="A38:AN38">
    <cfRule type="expression" priority="106" dxfId="0">
      <formula>$AH38="Y"</formula>
    </cfRule>
    <cfRule type="expression" priority="107" dxfId="1">
      <formula>AND($AH38&lt;&gt;"Y",$S38="Y")</formula>
    </cfRule>
    <cfRule type="expression" priority="108" dxfId="2">
      <formula>AND($AH38&lt;&gt;"Y",$S38&lt;&gt;"Y",$M38="Y")</formula>
    </cfRule>
  </conditionalFormatting>
  <conditionalFormatting sqref="A39:AN39">
    <cfRule type="expression" priority="109" dxfId="0">
      <formula>$AH39="Y"</formula>
    </cfRule>
    <cfRule type="expression" priority="110" dxfId="1">
      <formula>AND($AH39&lt;&gt;"Y",$S39="Y")</formula>
    </cfRule>
    <cfRule type="expression" priority="111" dxfId="2">
      <formula>AND($AH39&lt;&gt;"Y",$S39&lt;&gt;"Y",$M39="Y")</formula>
    </cfRule>
  </conditionalFormatting>
  <conditionalFormatting sqref="A40:AN40">
    <cfRule type="expression" priority="112" dxfId="0">
      <formula>$AH40="Y"</formula>
    </cfRule>
    <cfRule type="expression" priority="113" dxfId="1">
      <formula>AND($AH40&lt;&gt;"Y",$S40="Y")</formula>
    </cfRule>
    <cfRule type="expression" priority="114" dxfId="2">
      <formula>AND($AH40&lt;&gt;"Y",$S40&lt;&gt;"Y",$M40="Y")</formula>
    </cfRule>
  </conditionalFormatting>
  <conditionalFormatting sqref="A41:AN41">
    <cfRule type="expression" priority="115" dxfId="0">
      <formula>$AH41="Y"</formula>
    </cfRule>
    <cfRule type="expression" priority="116" dxfId="1">
      <formula>AND($AH41&lt;&gt;"Y",$S41="Y")</formula>
    </cfRule>
    <cfRule type="expression" priority="117" dxfId="2">
      <formula>AND($AH41&lt;&gt;"Y",$S41&lt;&gt;"Y",$M41="Y")</formula>
    </cfRule>
  </conditionalFormatting>
  <conditionalFormatting sqref="A42:AN42">
    <cfRule type="expression" priority="118" dxfId="0">
      <formula>$AH42="Y"</formula>
    </cfRule>
    <cfRule type="expression" priority="119" dxfId="1">
      <formula>AND($AH42&lt;&gt;"Y",$S42="Y")</formula>
    </cfRule>
    <cfRule type="expression" priority="120" dxfId="2">
      <formula>AND($AH42&lt;&gt;"Y",$S42&lt;&gt;"Y",$M42="Y")</formula>
    </cfRule>
  </conditionalFormatting>
  <conditionalFormatting sqref="A43:AN43">
    <cfRule type="expression" priority="121" dxfId="0">
      <formula>$AH43="Y"</formula>
    </cfRule>
    <cfRule type="expression" priority="122" dxfId="1">
      <formula>AND($AH43&lt;&gt;"Y",$S43="Y")</formula>
    </cfRule>
    <cfRule type="expression" priority="123" dxfId="2">
      <formula>AND($AH43&lt;&gt;"Y",$S43&lt;&gt;"Y",$M43="Y")</formula>
    </cfRule>
  </conditionalFormatting>
  <dataValidations count="5">
    <dataValidation sqref="N3:N43 S3:S43 Z3:Z43 AE3:AE43" showDropDown="0" showInputMessage="0" showErrorMessage="0" allowBlank="1" type="list">
      <formula1>"Y,N"</formula1>
    </dataValidation>
    <dataValidation sqref="M3:M43" showDropDown="0" showInputMessage="0" showErrorMessage="0" allowBlank="1" type="list">
      <formula1>"Y,N,MAYBE"</formula1>
    </dataValidation>
    <dataValidation sqref="K3:K43" showDropDown="0" showInputMessage="0" showErrorMessage="0" allowBlank="1" type="list">
      <formula1>"Exact,Normalized Exact,Alias,Fuzzy High,Fuzzy Medium,Fuzzy Low,Manual"</formula1>
    </dataValidation>
    <dataValidation sqref="AK3:AK43" showDropDown="0" showInputMessage="0" showErrorMessage="0" allowBlank="1" type="list">
      <formula1>"Pass,Fail,Pending Review,Need Client Clarification"</formula1>
    </dataValidation>
    <dataValidation sqref="AB3:AB43" showDropDown="0" showInputMessage="0" showErrorMessage="0" allowBlank="1" type="list">
      <formula1>"S,SQ,I,U,NA"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6" customWidth="1" min="4" max="4"/>
    <col width="18" customWidth="1" min="5" max="5"/>
    <col width="18" customWidth="1" min="6" max="6"/>
    <col width="16" customWidth="1" min="7" max="7"/>
    <col width="12" customWidth="1" min="8" max="8"/>
    <col width="18" customWidth="1" min="9" max="9"/>
    <col width="24" customWidth="1" min="10" max="10"/>
    <col width="30" customWidth="1" min="11" max="11"/>
  </cols>
  <sheetData>
    <row r="1">
      <c r="A1" s="3" t="inlineStr">
        <is>
          <t>Formula Code</t>
        </is>
      </c>
      <c r="B1" s="3" t="inlineStr">
        <is>
          <t>Formula Name</t>
        </is>
      </c>
      <c r="C1" s="3" t="inlineStr">
        <is>
          <t>Product Family</t>
        </is>
      </c>
      <c r="D1" s="3" t="inlineStr">
        <is>
          <t>Ingredient Count</t>
        </is>
      </c>
      <c r="E1" s="3" t="inlineStr">
        <is>
          <t>CA Prohibited Hits</t>
        </is>
      </c>
      <c r="F1" s="3" t="inlineStr">
        <is>
          <t>CA Restricted Hits</t>
        </is>
      </c>
      <c r="G1" s="3" t="inlineStr">
        <is>
          <t>CIR References</t>
        </is>
      </c>
      <c r="H1" s="3" t="inlineStr">
        <is>
          <t>CFR Hits</t>
        </is>
      </c>
      <c r="I1" s="3" t="inlineStr">
        <is>
          <t>Manual Review Count</t>
        </is>
      </c>
      <c r="J1" s="3" t="inlineStr">
        <is>
          <t>Overall Formula Status</t>
        </is>
      </c>
      <c r="K1" s="3" t="inlineStr">
        <is>
          <t>Follow-up</t>
        </is>
      </c>
    </row>
    <row r="2">
      <c r="A2" s="6" t="inlineStr">
        <is>
          <t>HA440</t>
        </is>
      </c>
      <c r="B2" s="6" t="inlineStr">
        <is>
          <t>FACIAL MASK - CAKE</t>
        </is>
      </c>
      <c r="C2" s="6" t="inlineStr">
        <is>
          <t>FACIAL MASK - CAKE</t>
        </is>
      </c>
      <c r="D2" s="25">
        <f>COUNTIF('03_筛查输出模板'!$B:$B,A2)</f>
        <v/>
      </c>
      <c r="E2" s="25">
        <f>COUNTIFS('03_筛查输出模板'!$B:$B,A2,'03_筛查输出模板'!$N:$N,"Y")</f>
        <v/>
      </c>
      <c r="F2" s="25">
        <f>COUNTIFS('03_筛查输出模板'!$B:$B,A2,'03_筛查输出模板'!$S:$S,"Y")</f>
        <v/>
      </c>
      <c r="G2" s="25">
        <f>COUNTIFS('03_筛查输出模板'!$B:$B,A2,'03_筛查输出模板'!$Z:$Z,"Y")</f>
        <v/>
      </c>
      <c r="H2" s="25">
        <f>COUNTIFS('03_筛查输出模板'!$B:$B,A2,'03_筛查输出模板'!$AE:$AE,"Y")</f>
        <v/>
      </c>
      <c r="I2" s="25">
        <f>COUNTIFS('03_筛查输出模板'!$B:$B,A2,'03_筛查输出模板'!$M:$M,"Y")+COUNTIFS('03_筛查输出模板'!$B:$B,A2,'03_筛查输出模板'!$M:$M,"MAYBE")</f>
        <v/>
      </c>
      <c r="J2" s="25">
        <f>IF(OR(E2&gt;0,H2&gt;0),"Prohibited hit present",IF(F2&gt;0,"Restricted review needed",IF(I2&gt;0,"Manual review needed","No flagged hits yet")))</f>
        <v/>
      </c>
      <c r="K2" s="25">
        <f>IF(OR(E2&gt;0,H2&gt;0),"Escalate immediately",IF(F2&gt;0,"Check body site / max conc. / warnings",IF(I2&gt;0,"Resolve fuzzy match / naming","Proceed with routine review")))</f>
        <v/>
      </c>
    </row>
    <row r="3">
      <c r="A3" s="6" t="inlineStr">
        <is>
          <t>SAH155</t>
        </is>
      </c>
      <c r="B3" s="6" t="inlineStr">
        <is>
          <t>SAH155 - PEACH</t>
        </is>
      </c>
      <c r="C3" s="6" t="inlineStr">
        <is>
          <t>HAND CREAM</t>
        </is>
      </c>
      <c r="D3" s="25">
        <f>COUNTIF('03_筛查输出模板'!$B:$B,A3)</f>
        <v/>
      </c>
      <c r="E3" s="25">
        <f>COUNTIFS('03_筛查输出模板'!$B:$B,A3,'03_筛查输出模板'!$N:$N,"Y")</f>
        <v/>
      </c>
      <c r="F3" s="25">
        <f>COUNTIFS('03_筛查输出模板'!$B:$B,A3,'03_筛查输出模板'!$S:$S,"Y")</f>
        <v/>
      </c>
      <c r="G3" s="25">
        <f>COUNTIFS('03_筛查输出模板'!$B:$B,A3,'03_筛查输出模板'!$Z:$Z,"Y")</f>
        <v/>
      </c>
      <c r="H3" s="25">
        <f>COUNTIFS('03_筛查输出模板'!$B:$B,A3,'03_筛查输出模板'!$AE:$AE,"Y")</f>
        <v/>
      </c>
      <c r="I3" s="25">
        <f>COUNTIFS('03_筛查输出模板'!$B:$B,A3,'03_筛查输出模板'!$M:$M,"Y")+COUNTIFS('03_筛查输出模板'!$B:$B,A3,'03_筛查输出模板'!$M:$M,"MAYBE")</f>
        <v/>
      </c>
      <c r="J3" s="25">
        <f>IF(OR(E3&gt;0,H3&gt;0),"Prohibited hit present",IF(F3&gt;0,"Restricted review needed",IF(I3&gt;0,"Manual review needed","No flagged hits yet")))</f>
        <v/>
      </c>
      <c r="K3" s="25">
        <f>IF(OR(E3&gt;0,H3&gt;0),"Escalate immediately",IF(F3&gt;0,"Check body site / max conc. / warnings",IF(I3&gt;0,"Resolve fuzzy match / naming","Proceed with routine review")))</f>
        <v/>
      </c>
    </row>
    <row r="4">
      <c r="A4" s="6" t="inlineStr">
        <is>
          <t>SAH157</t>
        </is>
      </c>
      <c r="B4" s="6" t="inlineStr">
        <is>
          <t>SAH157 - VITAMIN C</t>
        </is>
      </c>
      <c r="C4" s="6" t="inlineStr">
        <is>
          <t>HAND CREAM</t>
        </is>
      </c>
      <c r="D4" s="25">
        <f>COUNTIF('03_筛查输出模板'!$B:$B,A4)</f>
        <v/>
      </c>
      <c r="E4" s="25">
        <f>COUNTIFS('03_筛查输出模板'!$B:$B,A4,'03_筛查输出模板'!$N:$N,"Y")</f>
        <v/>
      </c>
      <c r="F4" s="25">
        <f>COUNTIFS('03_筛查输出模板'!$B:$B,A4,'03_筛查输出模板'!$S:$S,"Y")</f>
        <v/>
      </c>
      <c r="G4" s="25">
        <f>COUNTIFS('03_筛查输出模板'!$B:$B,A4,'03_筛查输出模板'!$Z:$Z,"Y")</f>
        <v/>
      </c>
      <c r="H4" s="25">
        <f>COUNTIFS('03_筛查输出模板'!$B:$B,A4,'03_筛查输出模板'!$AE:$AE,"Y")</f>
        <v/>
      </c>
      <c r="I4" s="25">
        <f>COUNTIFS('03_筛查输出模板'!$B:$B,A4,'03_筛查输出模板'!$M:$M,"Y")+COUNTIFS('03_筛查输出模板'!$B:$B,A4,'03_筛查输出模板'!$M:$M,"MAYBE")</f>
        <v/>
      </c>
      <c r="J4" s="25">
        <f>IF(OR(E4&gt;0,H4&gt;0),"Prohibited hit present",IF(F4&gt;0,"Restricted review needed",IF(I4&gt;0,"Manual review needed","No flagged hits yet")))</f>
        <v/>
      </c>
      <c r="K4" s="25">
        <f>IF(OR(E4&gt;0,H4&gt;0),"Escalate immediately",IF(F4&gt;0,"Check body site / max conc. / warnings",IF(I4&gt;0,"Resolve fuzzy match / naming","Proceed with routine review")))</f>
        <v/>
      </c>
    </row>
  </sheetData>
  <conditionalFormatting sqref="A2:K2">
    <cfRule type="expression" priority="1" dxfId="0">
      <formula>OR($E2&gt;0,$H2&gt;0)</formula>
    </cfRule>
    <cfRule type="expression" priority="2" dxfId="1">
      <formula>AND($E2=0,$H2=0,$F2&gt;0)</formula>
    </cfRule>
    <cfRule type="expression" priority="3" dxfId="2">
      <formula>AND($E2=0,$H2=0,$F2=0,$I2&gt;0)</formula>
    </cfRule>
  </conditionalFormatting>
  <conditionalFormatting sqref="A3:K3">
    <cfRule type="expression" priority="4" dxfId="0">
      <formula>OR($E3&gt;0,$H3&gt;0)</formula>
    </cfRule>
    <cfRule type="expression" priority="5" dxfId="1">
      <formula>AND($E3=0,$H3=0,$F3&gt;0)</formula>
    </cfRule>
    <cfRule type="expression" priority="6" dxfId="2">
      <formula>AND($E3=0,$H3=0,$F3=0,$I3&gt;0)</formula>
    </cfRule>
  </conditionalFormatting>
  <conditionalFormatting sqref="A4:K4">
    <cfRule type="expression" priority="7" dxfId="0">
      <formula>OR($E4&gt;0,$H4&gt;0)</formula>
    </cfRule>
    <cfRule type="expression" priority="8" dxfId="1">
      <formula>AND($E4=0,$H4=0,$F4&gt;0)</formula>
    </cfRule>
    <cfRule type="expression" priority="9" dxfId="2">
      <formula>AND($E4=0,$H4=0,$F4=0,$I4&gt;0)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24" customWidth="1" min="4" max="4"/>
    <col width="14" customWidth="1" min="5" max="5"/>
    <col width="30" customWidth="1" min="6" max="6"/>
    <col width="20" customWidth="1" min="7" max="7"/>
    <col width="20" customWidth="1" min="8" max="8"/>
    <col width="14" customWidth="1" min="9" max="9"/>
    <col width="30" customWidth="1" min="10" max="10"/>
    <col width="16" customWidth="1" min="11" max="11"/>
    <col width="24" customWidth="1" min="12" max="12"/>
  </cols>
  <sheetData>
    <row r="1">
      <c r="A1" s="28" t="inlineStr">
        <is>
          <t>Record ID</t>
        </is>
      </c>
      <c r="B1" s="28" t="inlineStr">
        <is>
          <t>Formula Code</t>
        </is>
      </c>
      <c r="C1" s="28" t="inlineStr">
        <is>
          <t>Raw INCI Name</t>
        </is>
      </c>
      <c r="D1" s="28" t="inlineStr">
        <is>
          <t>Raw CAS No</t>
        </is>
      </c>
      <c r="E1" s="28" t="inlineStr">
        <is>
          <t>Candidate Rank</t>
        </is>
      </c>
      <c r="F1" s="28" t="inlineStr">
        <is>
          <t>Candidate Ingredient</t>
        </is>
      </c>
      <c r="G1" s="28" t="inlineStr">
        <is>
          <t>Candidate Source DB</t>
        </is>
      </c>
      <c r="H1" s="28" t="inlineStr">
        <is>
          <t>Candidate CAS</t>
        </is>
      </c>
      <c r="I1" s="28" t="inlineStr">
        <is>
          <t>Similarity Score</t>
        </is>
      </c>
      <c r="J1" s="28" t="inlineStr">
        <is>
          <t>Why Suggested</t>
        </is>
      </c>
      <c r="K1" s="28" t="inlineStr">
        <is>
          <t>Final Selected?</t>
        </is>
      </c>
      <c r="L1" s="28" t="inlineStr">
        <is>
          <t>Reviewer Note</t>
        </is>
      </c>
    </row>
    <row r="2">
      <c r="A2" s="6" t="n"/>
      <c r="B2" s="6" t="n"/>
      <c r="C2" s="6" t="n"/>
      <c r="D2" s="6" t="n"/>
      <c r="E2" s="21" t="n"/>
      <c r="F2" s="21" t="n"/>
      <c r="G2" s="21" t="n"/>
      <c r="H2" s="21" t="n"/>
      <c r="I2" s="21" t="n"/>
      <c r="J2" s="21" t="n"/>
      <c r="K2" s="21" t="n"/>
      <c r="L2" s="21" t="n"/>
    </row>
    <row r="3">
      <c r="A3" s="6" t="n"/>
      <c r="B3" s="6" t="n"/>
      <c r="C3" s="6" t="n"/>
      <c r="D3" s="6" t="n"/>
      <c r="E3" s="21" t="n"/>
      <c r="F3" s="21" t="n"/>
      <c r="G3" s="21" t="n"/>
      <c r="H3" s="21" t="n"/>
      <c r="I3" s="21" t="n"/>
      <c r="J3" s="21" t="n"/>
      <c r="K3" s="21" t="n"/>
      <c r="L3" s="21" t="n"/>
    </row>
    <row r="4">
      <c r="A4" s="6" t="n"/>
      <c r="B4" s="6" t="n"/>
      <c r="C4" s="6" t="n"/>
      <c r="D4" s="6" t="n"/>
      <c r="E4" s="21" t="n"/>
      <c r="F4" s="21" t="n"/>
      <c r="G4" s="21" t="n"/>
      <c r="H4" s="21" t="n"/>
      <c r="I4" s="21" t="n"/>
      <c r="J4" s="21" t="n"/>
      <c r="K4" s="21" t="n"/>
      <c r="L4" s="21" t="n"/>
    </row>
    <row r="5">
      <c r="A5" s="6" t="n"/>
      <c r="B5" s="6" t="n"/>
      <c r="C5" s="6" t="n"/>
      <c r="D5" s="6" t="n"/>
      <c r="E5" s="21" t="n"/>
      <c r="F5" s="21" t="n"/>
      <c r="G5" s="21" t="n"/>
      <c r="H5" s="21" t="n"/>
      <c r="I5" s="21" t="n"/>
      <c r="J5" s="21" t="n"/>
      <c r="K5" s="21" t="n"/>
      <c r="L5" s="21" t="n"/>
    </row>
    <row r="6">
      <c r="A6" s="6" t="n"/>
      <c r="B6" s="6" t="n"/>
      <c r="C6" s="6" t="n"/>
      <c r="D6" s="6" t="n"/>
      <c r="E6" s="21" t="n"/>
      <c r="F6" s="21" t="n"/>
      <c r="G6" s="21" t="n"/>
      <c r="H6" s="21" t="n"/>
      <c r="I6" s="21" t="n"/>
      <c r="J6" s="21" t="n"/>
      <c r="K6" s="21" t="n"/>
      <c r="L6" s="21" t="n"/>
    </row>
    <row r="7">
      <c r="A7" s="6" t="n"/>
      <c r="B7" s="6" t="n"/>
      <c r="C7" s="6" t="n"/>
      <c r="D7" s="6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6" t="n"/>
      <c r="B8" s="6" t="n"/>
      <c r="C8" s="6" t="n"/>
      <c r="D8" s="6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6" t="n"/>
      <c r="B9" s="6" t="n"/>
      <c r="C9" s="6" t="n"/>
      <c r="D9" s="6" t="n"/>
      <c r="E9" s="21" t="n"/>
      <c r="F9" s="21" t="n"/>
      <c r="G9" s="21" t="n"/>
      <c r="H9" s="21" t="n"/>
      <c r="I9" s="21" t="n"/>
      <c r="J9" s="21" t="n"/>
      <c r="K9" s="21" t="n"/>
      <c r="L9" s="21" t="n"/>
    </row>
    <row r="10">
      <c r="A10" s="6" t="n"/>
      <c r="B10" s="6" t="n"/>
      <c r="C10" s="6" t="n"/>
      <c r="D10" s="6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6" t="n"/>
      <c r="B11" s="6" t="n"/>
      <c r="C11" s="6" t="n"/>
      <c r="D11" s="6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>
      <c r="A12" s="6" t="n"/>
      <c r="B12" s="6" t="n"/>
      <c r="C12" s="6" t="n"/>
      <c r="D12" s="6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6" t="n"/>
      <c r="B13" s="6" t="n"/>
      <c r="C13" s="6" t="n"/>
      <c r="D13" s="6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6" t="n"/>
      <c r="B14" s="6" t="n"/>
      <c r="C14" s="6" t="n"/>
      <c r="D14" s="6" t="n"/>
      <c r="E14" s="21" t="n"/>
      <c r="F14" s="21" t="n"/>
      <c r="G14" s="21" t="n"/>
      <c r="H14" s="21" t="n"/>
      <c r="I14" s="21" t="n"/>
      <c r="J14" s="21" t="n"/>
      <c r="K14" s="21" t="n"/>
      <c r="L14" s="21" t="n"/>
    </row>
    <row r="15">
      <c r="A15" s="6" t="n"/>
      <c r="B15" s="6" t="n"/>
      <c r="C15" s="6" t="n"/>
      <c r="D15" s="6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>
      <c r="A16" s="6" t="n"/>
      <c r="B16" s="6" t="n"/>
      <c r="C16" s="6" t="n"/>
      <c r="D16" s="6" t="n"/>
      <c r="E16" s="21" t="n"/>
      <c r="F16" s="21" t="n"/>
      <c r="G16" s="21" t="n"/>
      <c r="H16" s="21" t="n"/>
      <c r="I16" s="21" t="n"/>
      <c r="J16" s="21" t="n"/>
      <c r="K16" s="21" t="n"/>
      <c r="L16" s="2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YesNo</t>
        </is>
      </c>
      <c r="B1" t="inlineStr">
        <is>
          <t>YesNoMaybe</t>
        </is>
      </c>
      <c r="C1" t="inlineStr">
        <is>
          <t>MatchMethod</t>
        </is>
      </c>
      <c r="D1" t="inlineStr">
        <is>
          <t>FinalDisposition</t>
        </is>
      </c>
      <c r="E1" t="inlineStr">
        <is>
          <t>CIRFinding</t>
        </is>
      </c>
    </row>
    <row r="2">
      <c r="A2" t="inlineStr">
        <is>
          <t>Y</t>
        </is>
      </c>
      <c r="B2" t="inlineStr">
        <is>
          <t>Y</t>
        </is>
      </c>
      <c r="C2" t="inlineStr">
        <is>
          <t>Exact</t>
        </is>
      </c>
      <c r="D2" t="inlineStr">
        <is>
          <t>Pass</t>
        </is>
      </c>
      <c r="E2" t="inlineStr">
        <is>
          <t>S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Normalized Exact</t>
        </is>
      </c>
      <c r="D3" t="inlineStr">
        <is>
          <t>Fail</t>
        </is>
      </c>
      <c r="E3" t="inlineStr">
        <is>
          <t>SQ</t>
        </is>
      </c>
    </row>
    <row r="4">
      <c r="B4" t="inlineStr">
        <is>
          <t>MAYBE</t>
        </is>
      </c>
      <c r="C4" t="inlineStr">
        <is>
          <t>Alias</t>
        </is>
      </c>
      <c r="D4" t="inlineStr">
        <is>
          <t>Pending Review</t>
        </is>
      </c>
      <c r="E4" t="inlineStr">
        <is>
          <t>I</t>
        </is>
      </c>
    </row>
    <row r="5">
      <c r="C5" t="inlineStr">
        <is>
          <t>Fuzzy High</t>
        </is>
      </c>
      <c r="D5" t="inlineStr">
        <is>
          <t>Need Client Clarification</t>
        </is>
      </c>
      <c r="E5" t="inlineStr">
        <is>
          <t>U</t>
        </is>
      </c>
    </row>
    <row r="6">
      <c r="C6" t="inlineStr">
        <is>
          <t>Fuzzy Medium</t>
        </is>
      </c>
      <c r="E6" t="inlineStr">
        <is>
          <t>NA</t>
        </is>
      </c>
    </row>
    <row r="7">
      <c r="C7" t="inlineStr">
        <is>
          <t>Fuzzy Low</t>
        </is>
      </c>
    </row>
    <row r="8">
      <c r="C8" t="inlineStr">
        <is>
          <t>Manual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2026-03-18T07:38:31Z</dcterms:created>
  <dcterms:modified xmlns:dcterms="http://purl.org/dc/terms/" xmlns:xsi="http://www.w3.org/2001/XMLSchema-instance" xsi:type="dcterms:W3CDTF">2026-03-18T07:38:32Z</dcterms:modified>
</cp:coreProperties>
</file>